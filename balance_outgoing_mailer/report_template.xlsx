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660" windowWidth="29400" windowHeight="18460" tabRatio="600" firstSheet="0" activeTab="0" autoFilterDateGrouping="1"/>
  </bookViews>
  <sheets>
    <sheet xmlns:r="http://schemas.openxmlformats.org/officeDocument/2006/relationships" name="TEMPLATE" sheetId="1" state="visible" r:id="rId1"/>
  </sheets>
  <definedNames>
    <definedName name="_xlnm.Print_Titles" localSheetId="0">'TEMPLATE'!$3:$5</definedName>
    <definedName name="_xlnm.Print_Area" localSheetId="0">'TEMPLATE'!$A$1:$AA$71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#,###"/>
    <numFmt numFmtId="165" formatCode="[$-421]dddd\,\ dd\ mmmm\ yyyy;@"/>
  </numFmts>
  <fonts count="18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theme="0"/>
      <sz val="11"/>
      <scheme val="minor"/>
    </font>
    <font>
      <name val="Arial"/>
      <family val="2"/>
      <sz val="10"/>
    </font>
    <font>
      <name val="Calibri"/>
      <family val="2"/>
      <b val="1"/>
      <color theme="1"/>
      <sz val="10"/>
      <scheme val="minor"/>
    </font>
    <font>
      <name val="Pretendard"/>
      <color theme="1"/>
      <sz val="8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2"/>
    </font>
    <font>
      <name val="Calibri"/>
      <family val="2"/>
      <b val="1"/>
      <color theme="1"/>
      <sz val="20"/>
      <scheme val="minor"/>
    </font>
    <font>
      <name val="Tahoma"/>
      <family val="2"/>
      <color theme="0"/>
      <sz val="8.25"/>
    </font>
    <font>
      <name val="Tahoma"/>
      <family val="2"/>
      <color rgb="FF000000"/>
      <sz val="8.25"/>
    </font>
    <font>
      <name val="Tahoma"/>
      <family val="2"/>
      <color rgb="FF000000"/>
      <sz val="10"/>
    </font>
    <font>
      <name val="Tahoma"/>
      <family val="2"/>
      <b val="1"/>
      <color rgb="FF000000"/>
      <sz val="10"/>
    </font>
    <font>
      <name val="Tahoma"/>
      <family val="2"/>
      <color theme="0"/>
      <sz val="10"/>
    </font>
  </fonts>
  <fills count="13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E0FFFF"/>
      </patternFill>
    </fill>
    <fill>
      <patternFill patternType="solid">
        <fgColor rgb="FF90EE90"/>
      </patternFill>
    </fill>
  </fills>
  <borders count="14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dotted">
        <color indexed="64"/>
      </left>
      <right/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dotted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dotted">
        <color indexed="64"/>
      </left>
      <right/>
      <top style="dashed">
        <color indexed="64"/>
      </top>
      <bottom style="medium">
        <color indexed="64"/>
      </bottom>
      <diagonal/>
    </border>
    <border>
      <left/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/>
      <diagonal/>
    </border>
    <border>
      <left style="dotted">
        <color indexed="64"/>
      </left>
      <right/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dotted">
        <color indexed="64"/>
      </left>
      <right/>
      <top style="medium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 style="dotted">
        <color indexed="64"/>
      </left>
      <right/>
      <top/>
      <bottom style="dashed">
        <color indexed="64"/>
      </bottom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 style="medium">
        <color theme="1"/>
      </left>
      <right style="medium">
        <color theme="1"/>
      </right>
      <top style="dashed">
        <color theme="1"/>
      </top>
      <bottom/>
      <diagonal/>
    </border>
    <border>
      <left/>
      <right/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ashed">
        <color indexed="64"/>
      </bottom>
      <diagonal/>
    </border>
    <border>
      <left style="dotted">
        <color indexed="64"/>
      </left>
      <right/>
      <top style="dotted">
        <color indexed="64"/>
      </top>
      <bottom style="dashed">
        <color indexed="64"/>
      </bottom>
      <diagonal/>
    </border>
    <border>
      <left/>
      <right style="medium">
        <color indexed="64"/>
      </right>
      <top style="dott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otted">
        <color indexed="64"/>
      </bottom>
      <diagonal/>
    </border>
    <border>
      <left style="dotted">
        <color indexed="64"/>
      </left>
      <right/>
      <top style="dashed">
        <color indexed="64"/>
      </top>
      <bottom style="dotted">
        <color indexed="64"/>
      </bottom>
      <diagonal/>
    </border>
    <border>
      <left/>
      <right style="medium">
        <color indexed="64"/>
      </right>
      <top style="dashed">
        <color indexed="64"/>
      </top>
      <bottom style="dott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/>
      <diagonal/>
    </border>
    <border>
      <left/>
      <right/>
      <top style="medium">
        <color indexed="64"/>
      </top>
      <bottom style="dash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/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/>
      <top style="thin">
        <color rgb="FFA9A9A9"/>
      </top>
      <bottom style="thin">
        <color rgb="FFA9A9A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indexed="64"/>
      </bottom>
      <diagonal/>
    </border>
    <border>
      <left style="thin">
        <color rgb="FFA9A9A9"/>
      </left>
      <right/>
      <top style="thin">
        <color rgb="FFA9A9A9"/>
      </top>
      <bottom style="thin">
        <color indexed="64"/>
      </bottom>
      <diagonal/>
    </border>
    <border>
      <left style="thin">
        <color rgb="FFA9A9A9"/>
      </left>
      <right style="thin">
        <color rgb="FFA9A9A9"/>
      </right>
      <top style="thin">
        <color indexed="64"/>
      </top>
      <bottom style="thin">
        <color indexed="64"/>
      </bottom>
      <diagonal/>
    </border>
    <border>
      <left style="thin">
        <color rgb="FFA9A9A9"/>
      </left>
      <right/>
      <top style="thin">
        <color indexed="64"/>
      </top>
      <bottom style="thin">
        <color indexed="64"/>
      </bottom>
      <diagonal/>
    </border>
    <border>
      <left style="thin">
        <color rgb="FFA9A9A9"/>
      </left>
      <right style="thin">
        <color rgb="FFA9A9A9"/>
      </right>
      <top/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/>
      <diagonal/>
    </border>
    <border>
      <left style="thin">
        <color rgb="FFA9A9A9"/>
      </left>
      <right style="thin">
        <color indexed="64"/>
      </right>
      <top style="thin">
        <color rgb="FFA9A9A9"/>
      </top>
      <bottom style="thin">
        <color indexed="64"/>
      </bottom>
      <diagonal/>
    </border>
    <border>
      <left style="thin">
        <color rgb="FFA9A9A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9A9A9"/>
      </left>
      <right style="thin">
        <color rgb="FFA9A9A9"/>
      </right>
      <top/>
      <bottom/>
      <diagonal/>
    </border>
    <border>
      <left style="thin">
        <color rgb="FFA9A9A9"/>
      </left>
      <right/>
      <top/>
      <bottom/>
      <diagonal/>
    </border>
    <border>
      <left style="thin">
        <color rgb="FFA9A9A9"/>
      </left>
      <right style="thin">
        <color indexed="64"/>
      </right>
      <top/>
      <bottom/>
      <diagonal/>
    </border>
    <border>
      <left style="medium">
        <color indexed="64"/>
      </left>
      <right style="thin">
        <color rgb="FFA9A9A9"/>
      </right>
      <top style="medium">
        <color indexed="64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medium">
        <color indexed="64"/>
      </top>
      <bottom style="thin">
        <color rgb="FFA9A9A9"/>
      </bottom>
      <diagonal/>
    </border>
    <border>
      <left style="thin">
        <color rgb="FFA9A9A9"/>
      </left>
      <right style="medium">
        <color indexed="64"/>
      </right>
      <top style="medium">
        <color indexed="64"/>
      </top>
      <bottom style="thin">
        <color rgb="FFA9A9A9"/>
      </bottom>
      <diagonal/>
    </border>
    <border>
      <left style="medium">
        <color indexed="64"/>
      </left>
      <right style="thin">
        <color rgb="FFA9A9A9"/>
      </right>
      <top style="thin">
        <color rgb="FFA9A9A9"/>
      </top>
      <bottom style="medium">
        <color indexed="64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medium">
        <color indexed="64"/>
      </bottom>
      <diagonal/>
    </border>
    <border>
      <left style="thin">
        <color rgb="FFA9A9A9"/>
      </left>
      <right style="medium">
        <color indexed="64"/>
      </right>
      <top style="thin">
        <color rgb="FFA9A9A9"/>
      </top>
      <bottom style="medium">
        <color indexed="64"/>
      </bottom>
      <diagonal/>
    </border>
    <border>
      <left style="thin">
        <color rgb="FFA9A9A9"/>
      </left>
      <right style="thin">
        <color rgb="FFA9A9A9"/>
      </right>
      <top/>
      <bottom style="thin">
        <color indexed="64"/>
      </bottom>
      <diagonal/>
    </border>
    <border>
      <left style="thin">
        <color rgb="FFA9A9A9"/>
      </left>
      <right/>
      <top/>
      <bottom style="thin">
        <color indexed="64"/>
      </bottom>
      <diagonal/>
    </border>
    <border>
      <left style="thin">
        <color rgb="FFA9A9A9"/>
      </left>
      <right style="thin">
        <color rgb="FFA9A9A9"/>
      </right>
      <top style="thin">
        <color indexed="64"/>
      </top>
      <bottom style="thin">
        <color rgb="FFA9A9A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A9A9A9"/>
      </top>
      <bottom style="thin">
        <color rgb="FFA9A9A9"/>
      </bottom>
      <diagonal/>
    </border>
    <border>
      <left/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indexed="64"/>
      </left>
      <right style="thin">
        <color rgb="FFA9A9A9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A9A9A9"/>
      </right>
      <top style="thin">
        <color indexed="64"/>
      </top>
      <bottom style="thin">
        <color rgb="FFA9A9A9"/>
      </bottom>
      <diagonal/>
    </border>
    <border>
      <left style="thin">
        <color rgb="FFA9A9A9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indexed="64"/>
      </left>
      <right style="thin">
        <color rgb="FFA9A9A9"/>
      </right>
      <top/>
      <bottom style="thin">
        <color rgb="FFA9A9A9"/>
      </bottom>
      <diagonal/>
    </border>
    <border>
      <left style="thin">
        <color indexed="64"/>
      </left>
      <right style="thin">
        <color rgb="FFA9A9A9"/>
      </right>
      <top style="thin">
        <color rgb="FFA9A9A9"/>
      </top>
      <bottom style="thin">
        <color indexed="64"/>
      </bottom>
      <diagonal/>
    </border>
    <border>
      <left style="thin">
        <color rgb="FFA9A9A9"/>
      </left>
      <right style="thin">
        <color indexed="64"/>
      </right>
      <top/>
      <bottom style="thin">
        <color indexed="64"/>
      </bottom>
      <diagonal/>
    </border>
    <border>
      <left style="thin">
        <color rgb="FFA9A9A9"/>
      </left>
      <right/>
      <top/>
      <bottom style="thin">
        <color rgb="FFA9A9A9"/>
      </bottom>
      <diagonal/>
    </border>
    <border>
      <left/>
      <right style="thin">
        <color rgb="FFA9A9A9"/>
      </right>
      <top/>
      <bottom style="thin">
        <color rgb="FFA9A9A9"/>
      </bottom>
      <diagonal/>
    </border>
    <border>
      <left style="thin">
        <color indexed="64"/>
      </left>
      <right style="thin">
        <color rgb="FFA9A9A9"/>
      </right>
      <top/>
      <bottom style="thin">
        <color indexed="64"/>
      </bottom>
      <diagonal/>
    </border>
    <border>
      <left style="medium">
        <color indexed="64"/>
      </left>
      <right style="dotted">
        <color indexed="64"/>
      </right>
      <top/>
      <bottom style="medium">
        <color indexed="64"/>
      </bottom>
      <diagonal/>
    </border>
    <border>
      <left/>
      <right style="dotted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/>
      <right style="dotted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A9A9A9"/>
      </top>
      <bottom/>
      <diagonal/>
    </border>
    <border>
      <left/>
      <right style="thin">
        <color rgb="FFA9A9A9"/>
      </right>
      <top style="thin">
        <color rgb="FFA9A9A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A9A9A9"/>
      </right>
      <top/>
      <bottom/>
      <diagonal/>
    </border>
  </borders>
  <cellStyleXfs count="6">
    <xf numFmtId="0" fontId="3" fillId="0" borderId="0"/>
    <xf numFmtId="43" fontId="3" fillId="0" borderId="0"/>
    <xf numFmtId="0" fontId="6" fillId="0" borderId="0"/>
    <xf numFmtId="0" fontId="3" fillId="0" borderId="0"/>
    <xf numFmtId="0" fontId="3" fillId="0" borderId="0"/>
    <xf numFmtId="0" fontId="3" fillId="0" borderId="0"/>
  </cellStyleXfs>
  <cellXfs count="46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3" fontId="1" fillId="0" borderId="6" applyAlignment="1" pivotButton="0" quotePrefix="0" xfId="0">
      <alignment horizontal="center" vertical="center"/>
    </xf>
    <xf numFmtId="3" fontId="1" fillId="0" borderId="8" applyAlignment="1" pivotButton="0" quotePrefix="0" xfId="0">
      <alignment horizontal="center" vertical="center"/>
    </xf>
    <xf numFmtId="0" fontId="1" fillId="2" borderId="10" applyAlignment="1" pivotButton="0" quotePrefix="0" xfId="0">
      <alignment horizontal="center" vertical="center"/>
    </xf>
    <xf numFmtId="3" fontId="1" fillId="0" borderId="10" applyAlignment="1" pivotButton="0" quotePrefix="0" xfId="0">
      <alignment horizontal="center" vertical="center"/>
    </xf>
    <xf numFmtId="0" fontId="1" fillId="2" borderId="6" applyAlignment="1" pivotButton="0" quotePrefix="0" xfId="0">
      <alignment horizontal="center" vertical="center"/>
    </xf>
    <xf numFmtId="0" fontId="1" fillId="5" borderId="10" applyAlignment="1" pivotButton="0" quotePrefix="0" xfId="0">
      <alignment horizontal="left" vertical="center"/>
    </xf>
    <xf numFmtId="0" fontId="1" fillId="5" borderId="6" applyAlignment="1" pivotButton="0" quotePrefix="0" xfId="0">
      <alignment horizontal="left" vertical="center"/>
    </xf>
    <xf numFmtId="0" fontId="1" fillId="5" borderId="10" applyAlignment="1" pivotButton="0" quotePrefix="0" xfId="0">
      <alignment horizontal="center" vertical="center"/>
    </xf>
    <xf numFmtId="0" fontId="1" fillId="5" borderId="6" applyAlignment="1" pivotButton="0" quotePrefix="0" xfId="0">
      <alignment horizontal="center" vertical="center"/>
    </xf>
    <xf numFmtId="3" fontId="1" fillId="0" borderId="11" applyAlignment="1" pivotButton="0" quotePrefix="0" xfId="1">
      <alignment horizontal="center" vertical="center"/>
    </xf>
    <xf numFmtId="3" fontId="1" fillId="0" borderId="9" applyAlignment="1" pivotButton="0" quotePrefix="0" xfId="1">
      <alignment horizontal="center" vertical="center"/>
    </xf>
    <xf numFmtId="3" fontId="1" fillId="0" borderId="7" applyAlignment="1" pivotButton="0" quotePrefix="0" xfId="1">
      <alignment horizontal="center" vertical="center"/>
    </xf>
    <xf numFmtId="0" fontId="1" fillId="5" borderId="8" applyAlignment="1" pivotButton="0" quotePrefix="0" xfId="0">
      <alignment horizontal="left" vertical="center"/>
    </xf>
    <xf numFmtId="0" fontId="1" fillId="5" borderId="8" applyAlignment="1" pivotButton="0" quotePrefix="0" xfId="0">
      <alignment horizontal="center" vertical="center"/>
    </xf>
    <xf numFmtId="0" fontId="4" fillId="2" borderId="10" applyAlignment="1" pivotButton="0" quotePrefix="0" xfId="0">
      <alignment horizontal="left" vertical="center"/>
    </xf>
    <xf numFmtId="0" fontId="4" fillId="2" borderId="6" applyAlignment="1" pivotButton="0" quotePrefix="0" xfId="0">
      <alignment horizontal="left" vertical="center"/>
    </xf>
    <xf numFmtId="0" fontId="4" fillId="5" borderId="6" applyAlignment="1" pivotButton="0" quotePrefix="0" xfId="0">
      <alignment horizontal="left" vertical="center"/>
    </xf>
    <xf numFmtId="0" fontId="1" fillId="2" borderId="8" applyAlignment="1" pivotButton="0" quotePrefix="0" xfId="0">
      <alignment horizontal="center" vertical="center"/>
    </xf>
    <xf numFmtId="0" fontId="4" fillId="2" borderId="8" applyAlignment="1" pivotButton="0" quotePrefix="0" xfId="0">
      <alignment horizontal="left" vertical="center"/>
    </xf>
    <xf numFmtId="0" fontId="1" fillId="0" borderId="8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3" fontId="1" fillId="2" borderId="27" applyAlignment="1" pivotButton="0" quotePrefix="0" xfId="0">
      <alignment horizontal="center" vertical="center"/>
    </xf>
    <xf numFmtId="3" fontId="1" fillId="2" borderId="18" applyAlignment="1" pivotButton="0" quotePrefix="0" xfId="0">
      <alignment horizontal="center" vertical="center"/>
    </xf>
    <xf numFmtId="0" fontId="1" fillId="0" borderId="25" applyAlignment="1" pivotButton="0" quotePrefix="0" xfId="0">
      <alignment horizontal="center" vertical="center"/>
    </xf>
    <xf numFmtId="0" fontId="1" fillId="0" borderId="23" applyAlignment="1" pivotButton="0" quotePrefix="0" xfId="0">
      <alignment horizontal="center" vertical="center"/>
    </xf>
    <xf numFmtId="0" fontId="1" fillId="0" borderId="22" applyAlignment="1" pivotButton="0" quotePrefix="0" xfId="0">
      <alignment horizontal="center" vertical="center"/>
    </xf>
    <xf numFmtId="0" fontId="5" fillId="6" borderId="24" applyAlignment="1" pivotButton="0" quotePrefix="0" xfId="0">
      <alignment horizontal="center" vertical="center" wrapText="1"/>
    </xf>
    <xf numFmtId="0" fontId="1" fillId="3" borderId="24" applyAlignment="1" pivotButton="0" quotePrefix="0" xfId="0">
      <alignment horizontal="center" vertical="center" wrapText="1"/>
    </xf>
    <xf numFmtId="0" fontId="1" fillId="4" borderId="24" applyAlignment="1" pivotButton="0" quotePrefix="0" xfId="0">
      <alignment horizontal="center" vertical="center" wrapText="1"/>
    </xf>
    <xf numFmtId="0" fontId="1" fillId="5" borderId="16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4" fillId="5" borderId="10" applyAlignment="1" pivotButton="0" quotePrefix="0" xfId="0">
      <alignment horizontal="left" vertical="center"/>
    </xf>
    <xf numFmtId="0" fontId="1" fillId="0" borderId="35" applyAlignment="1" pivotButton="0" quotePrefix="0" xfId="0">
      <alignment horizontal="center" vertical="center"/>
    </xf>
    <xf numFmtId="3" fontId="1" fillId="0" borderId="36" applyAlignment="1" pivotButton="0" quotePrefix="0" xfId="1">
      <alignment horizontal="center" vertical="center"/>
    </xf>
    <xf numFmtId="3" fontId="1" fillId="0" borderId="35" applyAlignment="1" pivotButton="0" quotePrefix="0" xfId="0">
      <alignment horizontal="center" vertical="center"/>
    </xf>
    <xf numFmtId="0" fontId="1" fillId="0" borderId="37" applyAlignment="1" pivotButton="0" quotePrefix="0" xfId="0">
      <alignment horizontal="center" vertical="center"/>
    </xf>
    <xf numFmtId="0" fontId="1" fillId="5" borderId="35" applyAlignment="1" pivotButton="0" quotePrefix="0" xfId="0">
      <alignment horizontal="center" vertical="center"/>
    </xf>
    <xf numFmtId="0" fontId="1" fillId="5" borderId="35" applyAlignment="1" pivotButton="0" quotePrefix="0" xfId="0">
      <alignment horizontal="left" vertical="center"/>
    </xf>
    <xf numFmtId="3" fontId="1" fillId="0" borderId="6" applyAlignment="1" pivotButton="0" quotePrefix="0" xfId="0">
      <alignment horizontal="left" vertical="center"/>
    </xf>
    <xf numFmtId="3" fontId="1" fillId="5" borderId="6" applyAlignment="1" pivotButton="0" quotePrefix="0" xfId="0">
      <alignment horizontal="left" vertical="center"/>
    </xf>
    <xf numFmtId="0" fontId="1" fillId="0" borderId="29" applyAlignment="1" pivotButton="0" quotePrefix="0" xfId="0">
      <alignment horizontal="center" vertical="center"/>
    </xf>
    <xf numFmtId="0" fontId="1" fillId="2" borderId="35" applyAlignment="1" pivotButton="0" quotePrefix="0" xfId="0">
      <alignment horizontal="center" vertical="center"/>
    </xf>
    <xf numFmtId="0" fontId="4" fillId="2" borderId="35" applyAlignment="1" pivotButton="0" quotePrefix="0" xfId="0">
      <alignment horizontal="left" vertical="center"/>
    </xf>
    <xf numFmtId="0" fontId="1" fillId="5" borderId="40" applyAlignment="1" pivotButton="0" quotePrefix="0" xfId="0">
      <alignment horizontal="center" vertical="center"/>
    </xf>
    <xf numFmtId="0" fontId="1" fillId="0" borderId="40" applyAlignment="1" pivotButton="0" quotePrefix="0" xfId="0">
      <alignment horizontal="center" vertical="center"/>
    </xf>
    <xf numFmtId="3" fontId="1" fillId="0" borderId="41" applyAlignment="1" pivotButton="0" quotePrefix="0" xfId="1">
      <alignment horizontal="center" vertical="center"/>
    </xf>
    <xf numFmtId="3" fontId="1" fillId="0" borderId="40" applyAlignment="1" pivotButton="0" quotePrefix="0" xfId="0">
      <alignment horizontal="center" vertical="center"/>
    </xf>
    <xf numFmtId="0" fontId="1" fillId="0" borderId="43" applyAlignment="1" pivotButton="0" quotePrefix="0" xfId="0">
      <alignment horizontal="center" vertical="center"/>
    </xf>
    <xf numFmtId="0" fontId="1" fillId="5" borderId="43" applyAlignment="1" pivotButton="0" quotePrefix="0" xfId="0">
      <alignment horizontal="center" vertical="center"/>
    </xf>
    <xf numFmtId="0" fontId="1" fillId="5" borderId="43" applyAlignment="1" pivotButton="0" quotePrefix="0" xfId="0">
      <alignment horizontal="left" vertical="center"/>
    </xf>
    <xf numFmtId="0" fontId="4" fillId="5" borderId="43" applyAlignment="1" pivotButton="0" quotePrefix="0" xfId="0">
      <alignment horizontal="left" vertical="center"/>
    </xf>
    <xf numFmtId="3" fontId="1" fillId="0" borderId="44" applyAlignment="1" pivotButton="0" quotePrefix="0" xfId="1">
      <alignment horizontal="center" vertical="center"/>
    </xf>
    <xf numFmtId="3" fontId="1" fillId="0" borderId="43" applyAlignment="1" pivotButton="0" quotePrefix="0" xfId="0">
      <alignment horizontal="center" vertical="center"/>
    </xf>
    <xf numFmtId="0" fontId="1" fillId="0" borderId="45" applyAlignment="1" pivotButton="0" quotePrefix="0" xfId="0">
      <alignment horizontal="center" vertical="center"/>
    </xf>
    <xf numFmtId="0" fontId="1" fillId="0" borderId="35" applyAlignment="1" pivotButton="0" quotePrefix="0" xfId="0">
      <alignment horizontal="left" vertical="center"/>
    </xf>
    <xf numFmtId="164" fontId="0" fillId="0" borderId="0" pivotButton="0" quotePrefix="0" xfId="0"/>
    <xf numFmtId="164" fontId="1" fillId="0" borderId="0" applyAlignment="1" pivotButton="0" quotePrefix="0" xfId="0">
      <alignment horizontal="center" vertical="center"/>
    </xf>
    <xf numFmtId="3" fontId="1" fillId="0" borderId="0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 wrapText="1"/>
    </xf>
    <xf numFmtId="0" fontId="1" fillId="2" borderId="13" applyAlignment="1" pivotButton="0" quotePrefix="0" xfId="0">
      <alignment vertical="center" wrapText="1"/>
    </xf>
    <xf numFmtId="0" fontId="1" fillId="2" borderId="19" applyAlignment="1" pivotButton="0" quotePrefix="0" xfId="0">
      <alignment vertical="center" wrapText="1"/>
    </xf>
    <xf numFmtId="0" fontId="1" fillId="2" borderId="43" applyAlignment="1" pivotButton="0" quotePrefix="0" xfId="0">
      <alignment horizontal="center" vertical="center"/>
    </xf>
    <xf numFmtId="0" fontId="1" fillId="0" borderId="43" applyAlignment="1" pivotButton="0" quotePrefix="0" xfId="0">
      <alignment horizontal="left" vertical="center"/>
    </xf>
    <xf numFmtId="0" fontId="1" fillId="2" borderId="43" applyAlignment="1" pivotButton="0" quotePrefix="0" xfId="0">
      <alignment horizontal="left" vertical="center"/>
    </xf>
    <xf numFmtId="0" fontId="1" fillId="2" borderId="46" applyAlignment="1" pivotButton="0" quotePrefix="0" xfId="0">
      <alignment horizontal="center" vertical="center"/>
    </xf>
    <xf numFmtId="0" fontId="1" fillId="0" borderId="46" applyAlignment="1" pivotButton="0" quotePrefix="0" xfId="0">
      <alignment horizontal="center" vertical="center"/>
    </xf>
    <xf numFmtId="0" fontId="1" fillId="0" borderId="46" applyAlignment="1" pivotButton="0" quotePrefix="0" xfId="0">
      <alignment horizontal="left" vertical="center"/>
    </xf>
    <xf numFmtId="0" fontId="1" fillId="2" borderId="46" applyAlignment="1" pivotButton="0" quotePrefix="0" xfId="0">
      <alignment horizontal="left" vertical="center"/>
    </xf>
    <xf numFmtId="3" fontId="1" fillId="0" borderId="47" applyAlignment="1" pivotButton="0" quotePrefix="0" xfId="1">
      <alignment horizontal="center" vertical="center"/>
    </xf>
    <xf numFmtId="3" fontId="1" fillId="0" borderId="46" applyAlignment="1" pivotButton="0" quotePrefix="0" xfId="0">
      <alignment horizontal="center" vertical="center"/>
    </xf>
    <xf numFmtId="0" fontId="1" fillId="0" borderId="48" applyAlignment="1" pivotButton="0" quotePrefix="0" xfId="0">
      <alignment horizontal="center" vertical="center"/>
    </xf>
    <xf numFmtId="0" fontId="1" fillId="2" borderId="49" applyAlignment="1" pivotButton="0" quotePrefix="0" xfId="0">
      <alignment horizontal="center" vertical="center"/>
    </xf>
    <xf numFmtId="0" fontId="1" fillId="0" borderId="49" applyAlignment="1" pivotButton="0" quotePrefix="0" xfId="0">
      <alignment horizontal="center" vertical="center"/>
    </xf>
    <xf numFmtId="0" fontId="1" fillId="0" borderId="49" applyAlignment="1" pivotButton="0" quotePrefix="0" xfId="0">
      <alignment horizontal="left" vertical="center"/>
    </xf>
    <xf numFmtId="0" fontId="1" fillId="2" borderId="49" applyAlignment="1" pivotButton="0" quotePrefix="0" xfId="0">
      <alignment horizontal="left" vertical="center"/>
    </xf>
    <xf numFmtId="3" fontId="1" fillId="0" borderId="50" applyAlignment="1" pivotButton="0" quotePrefix="0" xfId="1">
      <alignment horizontal="center" vertical="center"/>
    </xf>
    <xf numFmtId="3" fontId="1" fillId="0" borderId="49" applyAlignment="1" pivotButton="0" quotePrefix="0" xfId="0">
      <alignment horizontal="center" vertical="center"/>
    </xf>
    <xf numFmtId="0" fontId="1" fillId="0" borderId="51" applyAlignment="1" pivotButton="0" quotePrefix="0" xfId="0">
      <alignment horizontal="center" vertical="center"/>
    </xf>
    <xf numFmtId="0" fontId="1" fillId="5" borderId="49" applyAlignment="1" pivotButton="0" quotePrefix="0" xfId="0">
      <alignment horizontal="left" vertical="center"/>
    </xf>
    <xf numFmtId="0" fontId="1" fillId="5" borderId="49" applyAlignment="1" pivotButton="0" quotePrefix="0" xfId="0">
      <alignment horizontal="center" vertical="center"/>
    </xf>
    <xf numFmtId="0" fontId="4" fillId="2" borderId="49" applyAlignment="1" pivotButton="0" quotePrefix="0" xfId="0">
      <alignment horizontal="left" vertical="center"/>
    </xf>
    <xf numFmtId="2" fontId="1" fillId="5" borderId="8" applyAlignment="1" pivotButton="0" quotePrefix="0" xfId="0">
      <alignment horizontal="center" vertical="center"/>
    </xf>
    <xf numFmtId="2" fontId="1" fillId="5" borderId="8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/>
    </xf>
    <xf numFmtId="2" fontId="1" fillId="0" borderId="9" applyAlignment="1" pivotButton="0" quotePrefix="0" xfId="1">
      <alignment horizontal="center" vertical="center"/>
    </xf>
    <xf numFmtId="2" fontId="1" fillId="0" borderId="25" applyAlignment="1" pivotButton="0" quotePrefix="0" xfId="0">
      <alignment horizontal="center" vertical="center"/>
    </xf>
    <xf numFmtId="2" fontId="4" fillId="5" borderId="8" applyAlignment="1" pivotButton="0" quotePrefix="0" xfId="0">
      <alignment horizontal="left" vertical="center"/>
    </xf>
    <xf numFmtId="164" fontId="1" fillId="0" borderId="47" applyAlignment="1" pivotButton="0" quotePrefix="0" xfId="1">
      <alignment horizontal="center" vertical="center"/>
    </xf>
    <xf numFmtId="164" fontId="1" fillId="0" borderId="50" applyAlignment="1" pivotButton="0" quotePrefix="0" xfId="1">
      <alignment horizontal="center" vertical="center"/>
    </xf>
    <xf numFmtId="164" fontId="1" fillId="0" borderId="44" applyAlignment="1" pivotButton="0" quotePrefix="0" xfId="1">
      <alignment horizontal="center" vertical="center"/>
    </xf>
    <xf numFmtId="164" fontId="1" fillId="0" borderId="9" applyAlignment="1" pivotButton="0" quotePrefix="0" xfId="1">
      <alignment horizontal="center" vertical="center"/>
    </xf>
    <xf numFmtId="164" fontId="1" fillId="0" borderId="36" applyAlignment="1" pivotButton="0" quotePrefix="0" xfId="1">
      <alignment horizontal="center" vertical="center"/>
    </xf>
    <xf numFmtId="164" fontId="1" fillId="0" borderId="11" applyAlignment="1" pivotButton="0" quotePrefix="0" xfId="1">
      <alignment horizontal="center" vertical="center"/>
    </xf>
    <xf numFmtId="164" fontId="1" fillId="0" borderId="7" applyAlignment="1" pivotButton="0" quotePrefix="0" xfId="1">
      <alignment horizontal="center" vertical="center"/>
    </xf>
    <xf numFmtId="164" fontId="1" fillId="0" borderId="41" applyAlignment="1" pivotButton="0" quotePrefix="0" xfId="1">
      <alignment horizontal="center" vertical="center"/>
    </xf>
    <xf numFmtId="0" fontId="1" fillId="5" borderId="46" applyAlignment="1" pivotButton="0" quotePrefix="0" xfId="0">
      <alignment horizontal="left" vertical="center"/>
    </xf>
    <xf numFmtId="0" fontId="4" fillId="2" borderId="43" applyAlignment="1" pivotButton="0" quotePrefix="0" xfId="0">
      <alignment horizontal="left" vertical="center"/>
    </xf>
    <xf numFmtId="0" fontId="1" fillId="5" borderId="46" applyAlignment="1" pivotButton="0" quotePrefix="0" xfId="0">
      <alignment horizontal="center" vertical="center"/>
    </xf>
    <xf numFmtId="0" fontId="4" fillId="2" borderId="46" applyAlignment="1" pivotButton="0" quotePrefix="0" xfId="0">
      <alignment horizontal="left" vertical="center"/>
    </xf>
    <xf numFmtId="2" fontId="1" fillId="5" borderId="40" applyAlignment="1" pivotButton="0" quotePrefix="0" xfId="0">
      <alignment horizontal="center" vertical="center"/>
    </xf>
    <xf numFmtId="2" fontId="1" fillId="5" borderId="40" applyAlignment="1" pivotButton="0" quotePrefix="0" xfId="0">
      <alignment horizontal="left" vertical="center"/>
    </xf>
    <xf numFmtId="2" fontId="4" fillId="5" borderId="40" applyAlignment="1" pivotButton="0" quotePrefix="0" xfId="0">
      <alignment horizontal="left" vertical="center"/>
    </xf>
    <xf numFmtId="2" fontId="1" fillId="0" borderId="40" applyAlignment="1" pivotButton="0" quotePrefix="0" xfId="0">
      <alignment horizontal="center" vertical="center"/>
    </xf>
    <xf numFmtId="2" fontId="1" fillId="0" borderId="41" applyAlignment="1" pivotButton="0" quotePrefix="0" xfId="1">
      <alignment horizontal="center" vertical="center"/>
    </xf>
    <xf numFmtId="2" fontId="1" fillId="0" borderId="42" applyAlignment="1" pivotButton="0" quotePrefix="0" xfId="0">
      <alignment horizontal="center" vertical="center"/>
    </xf>
    <xf numFmtId="0" fontId="4" fillId="5" borderId="46" applyAlignment="1" pivotButton="0" quotePrefix="0" xfId="0">
      <alignment horizontal="left" vertical="center"/>
    </xf>
    <xf numFmtId="0" fontId="1" fillId="0" borderId="52" applyAlignment="1" pivotButton="0" quotePrefix="0" xfId="0">
      <alignment horizontal="center" vertical="center"/>
    </xf>
    <xf numFmtId="0" fontId="1" fillId="0" borderId="52" applyAlignment="1" pivotButton="0" quotePrefix="0" xfId="0">
      <alignment horizontal="left" vertical="center"/>
    </xf>
    <xf numFmtId="0" fontId="1" fillId="5" borderId="52" applyAlignment="1" pivotButton="0" quotePrefix="0" xfId="0">
      <alignment horizontal="left" vertical="center"/>
    </xf>
    <xf numFmtId="164" fontId="1" fillId="0" borderId="53" applyAlignment="1" pivotButton="0" quotePrefix="0" xfId="1">
      <alignment horizontal="center" vertical="center"/>
    </xf>
    <xf numFmtId="3" fontId="1" fillId="0" borderId="53" applyAlignment="1" pivotButton="0" quotePrefix="0" xfId="1">
      <alignment horizontal="center" vertical="center"/>
    </xf>
    <xf numFmtId="3" fontId="1" fillId="0" borderId="52" applyAlignment="1" pivotButton="0" quotePrefix="0" xfId="0">
      <alignment horizontal="center" vertical="center"/>
    </xf>
    <xf numFmtId="0" fontId="1" fillId="0" borderId="54" applyAlignment="1" pivotButton="0" quotePrefix="0" xfId="0">
      <alignment horizontal="center" vertical="center"/>
    </xf>
    <xf numFmtId="0" fontId="7" fillId="0" borderId="46" applyAlignment="1" pivotButton="0" quotePrefix="0" xfId="0">
      <alignment horizontal="center" vertical="center"/>
    </xf>
    <xf numFmtId="0" fontId="1" fillId="0" borderId="39" applyAlignment="1" pivotButton="0" quotePrefix="0" xfId="0">
      <alignment horizontal="center" vertical="center"/>
    </xf>
    <xf numFmtId="0" fontId="1" fillId="0" borderId="39" applyAlignment="1" pivotButton="0" quotePrefix="0" xfId="0">
      <alignment horizontal="left" vertical="center"/>
    </xf>
    <xf numFmtId="164" fontId="1" fillId="0" borderId="55" applyAlignment="1" pivotButton="0" quotePrefix="0" xfId="1">
      <alignment horizontal="center" vertical="center"/>
    </xf>
    <xf numFmtId="3" fontId="1" fillId="0" borderId="55" applyAlignment="1" pivotButton="0" quotePrefix="0" xfId="1">
      <alignment horizontal="center" vertical="center"/>
    </xf>
    <xf numFmtId="3" fontId="1" fillId="0" borderId="39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0" fontId="4" fillId="5" borderId="8" applyAlignment="1" pivotButton="0" quotePrefix="0" xfId="0">
      <alignment horizontal="left" vertical="center"/>
    </xf>
    <xf numFmtId="16" fontId="1" fillId="2" borderId="13" applyAlignment="1" pivotButton="0" quotePrefix="0" xfId="0">
      <alignment horizontal="center" vertical="center" wrapText="1"/>
    </xf>
    <xf numFmtId="0" fontId="7" fillId="2" borderId="46" applyAlignment="1" pivotButton="0" quotePrefix="0" xfId="0">
      <alignment horizontal="center" vertical="center"/>
    </xf>
    <xf numFmtId="0" fontId="8" fillId="0" borderId="0" pivotButton="0" quotePrefix="0" xfId="0"/>
    <xf numFmtId="0" fontId="4" fillId="5" borderId="49" applyAlignment="1" pivotButton="0" quotePrefix="0" xfId="0">
      <alignment horizontal="left" vertical="center"/>
    </xf>
    <xf numFmtId="0" fontId="1" fillId="0" borderId="8" applyAlignment="1" pivotButton="0" quotePrefix="0" xfId="0">
      <alignment horizontal="left" vertical="center"/>
    </xf>
    <xf numFmtId="0" fontId="1" fillId="2" borderId="8" applyAlignment="1" pivotButton="0" quotePrefix="0" xfId="0">
      <alignment horizontal="left" vertical="center"/>
    </xf>
    <xf numFmtId="0" fontId="1" fillId="7" borderId="10" applyAlignment="1" pivotButton="0" quotePrefix="0" xfId="0">
      <alignment horizontal="center" vertical="center"/>
    </xf>
    <xf numFmtId="164" fontId="1" fillId="7" borderId="11" applyAlignment="1" pivotButton="0" quotePrefix="0" xfId="1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12" applyAlignment="1" pivotButton="0" quotePrefix="0" xfId="0">
      <alignment horizontal="left" vertical="center"/>
    </xf>
    <xf numFmtId="0" fontId="1" fillId="5" borderId="12" applyAlignment="1" pivotButton="0" quotePrefix="0" xfId="0">
      <alignment horizontal="left" vertical="center"/>
    </xf>
    <xf numFmtId="164" fontId="1" fillId="0" borderId="56" applyAlignment="1" pivotButton="0" quotePrefix="0" xfId="1">
      <alignment horizontal="center" vertical="center"/>
    </xf>
    <xf numFmtId="3" fontId="1" fillId="0" borderId="56" applyAlignment="1" pivotButton="0" quotePrefix="0" xfId="1">
      <alignment horizontal="center" vertical="center"/>
    </xf>
    <xf numFmtId="3" fontId="1" fillId="0" borderId="12" applyAlignment="1" pivotButton="0" quotePrefix="0" xfId="0">
      <alignment horizontal="center" vertical="center"/>
    </xf>
    <xf numFmtId="0" fontId="1" fillId="0" borderId="6" applyAlignment="1" pivotButton="0" quotePrefix="0" xfId="0">
      <alignment horizontal="left" vertical="center"/>
    </xf>
    <xf numFmtId="0" fontId="1" fillId="0" borderId="57" applyAlignment="1" pivotButton="0" quotePrefix="0" xfId="0">
      <alignment horizontal="center" vertical="center"/>
    </xf>
    <xf numFmtId="0" fontId="1" fillId="0" borderId="42" applyAlignment="1" pivotButton="0" quotePrefix="0" xfId="0">
      <alignment horizontal="center" vertical="center"/>
    </xf>
    <xf numFmtId="0" fontId="1" fillId="0" borderId="58" applyAlignment="1" pivotButton="0" quotePrefix="0" xfId="0">
      <alignment horizontal="center" vertical="center"/>
    </xf>
    <xf numFmtId="0" fontId="1" fillId="0" borderId="58" applyAlignment="1" pivotButton="0" quotePrefix="0" xfId="0">
      <alignment horizontal="left" vertical="center"/>
    </xf>
    <xf numFmtId="164" fontId="1" fillId="0" borderId="59" applyAlignment="1" pivotButton="0" quotePrefix="0" xfId="1">
      <alignment horizontal="center" vertical="center"/>
    </xf>
    <xf numFmtId="3" fontId="1" fillId="0" borderId="59" applyAlignment="1" pivotButton="0" quotePrefix="0" xfId="1">
      <alignment horizontal="center" vertical="center"/>
    </xf>
    <xf numFmtId="3" fontId="1" fillId="0" borderId="58" applyAlignment="1" pivotButton="0" quotePrefix="0" xfId="0">
      <alignment horizontal="center" vertical="center"/>
    </xf>
    <xf numFmtId="0" fontId="1" fillId="0" borderId="60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 vertical="center"/>
    </xf>
    <xf numFmtId="0" fontId="1" fillId="2" borderId="6" applyAlignment="1" pivotButton="0" quotePrefix="0" xfId="0">
      <alignment horizontal="left" vertical="center"/>
    </xf>
    <xf numFmtId="0" fontId="1" fillId="2" borderId="10" applyAlignment="1" pivotButton="0" quotePrefix="0" xfId="0">
      <alignment horizontal="left" vertical="center"/>
    </xf>
    <xf numFmtId="0" fontId="4" fillId="5" borderId="35" applyAlignment="1" pivotButton="0" quotePrefix="0" xfId="0">
      <alignment horizontal="left" vertical="center"/>
    </xf>
    <xf numFmtId="165" fontId="1" fillId="5" borderId="0" applyAlignment="1" pivotButton="0" quotePrefix="0" xfId="0">
      <alignment vertical="center"/>
    </xf>
    <xf numFmtId="165" fontId="9" fillId="5" borderId="0" applyAlignment="1" pivotButton="0" quotePrefix="0" xfId="0">
      <alignment horizontal="center"/>
    </xf>
    <xf numFmtId="165" fontId="1" fillId="5" borderId="1" applyAlignment="1" pivotButton="0" quotePrefix="0" xfId="0">
      <alignment vertical="center"/>
    </xf>
    <xf numFmtId="16" fontId="1" fillId="2" borderId="5" applyAlignment="1" pivotButton="0" quotePrefix="0" xfId="0">
      <alignment horizontal="center" vertical="center" wrapText="1"/>
    </xf>
    <xf numFmtId="16" fontId="1" fillId="2" borderId="5" applyAlignment="1" pivotButton="0" quotePrefix="1" xfId="0">
      <alignment horizontal="center" vertical="center" wrapText="1"/>
    </xf>
    <xf numFmtId="0" fontId="1" fillId="5" borderId="52" applyAlignment="1" pivotButton="0" quotePrefix="0" xfId="0">
      <alignment horizontal="center" vertical="center"/>
    </xf>
    <xf numFmtId="0" fontId="1" fillId="2" borderId="52" applyAlignment="1" pivotButton="0" quotePrefix="0" xfId="0">
      <alignment horizontal="left" vertical="center"/>
    </xf>
    <xf numFmtId="164" fontId="1" fillId="5" borderId="53" applyAlignment="1" pivotButton="0" quotePrefix="0" xfId="1">
      <alignment horizontal="center" vertical="center"/>
    </xf>
    <xf numFmtId="0" fontId="7" fillId="0" borderId="52" applyAlignment="1" pivotButton="0" quotePrefix="0" xfId="0">
      <alignment horizontal="center" vertical="center"/>
    </xf>
    <xf numFmtId="164" fontId="4" fillId="5" borderId="53" applyAlignment="1" pivotButton="0" quotePrefix="0" xfId="1">
      <alignment horizontal="center" vertical="center"/>
    </xf>
    <xf numFmtId="0" fontId="11" fillId="5" borderId="61" applyAlignment="1" pivotButton="0" quotePrefix="0" xfId="0">
      <alignment horizontal="center" vertical="center" wrapText="1"/>
    </xf>
    <xf numFmtId="164" fontId="1" fillId="5" borderId="9" applyAlignment="1" pivotButton="0" quotePrefix="0" xfId="1">
      <alignment horizontal="center" vertical="center"/>
    </xf>
    <xf numFmtId="164" fontId="4" fillId="5" borderId="9" applyAlignment="1" pivotButton="0" quotePrefix="0" xfId="1">
      <alignment horizontal="center" vertical="center"/>
    </xf>
    <xf numFmtId="0" fontId="11" fillId="5" borderId="62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/>
    </xf>
    <xf numFmtId="0" fontId="7" fillId="0" borderId="35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1" fillId="0" borderId="40" applyAlignment="1" pivotButton="0" quotePrefix="0" xfId="0">
      <alignment horizontal="left" vertical="center"/>
    </xf>
    <xf numFmtId="0" fontId="1" fillId="5" borderId="40" applyAlignment="1" pivotButton="0" quotePrefix="0" xfId="0">
      <alignment horizontal="left" vertical="center"/>
    </xf>
    <xf numFmtId="0" fontId="7" fillId="0" borderId="40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164" fontId="1" fillId="7" borderId="7" applyAlignment="1" pivotButton="0" quotePrefix="0" xfId="1">
      <alignment horizontal="center" vertical="center"/>
    </xf>
    <xf numFmtId="164" fontId="1" fillId="0" borderId="63" applyAlignment="1" pivotButton="0" quotePrefix="0" xfId="1">
      <alignment horizontal="center" vertical="center"/>
    </xf>
    <xf numFmtId="0" fontId="10" fillId="0" borderId="12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center" vertical="center"/>
    </xf>
    <xf numFmtId="0" fontId="1" fillId="2" borderId="12" applyAlignment="1" pivotButton="0" quotePrefix="0" xfId="0">
      <alignment horizontal="left" vertical="center"/>
    </xf>
    <xf numFmtId="0" fontId="4" fillId="5" borderId="52" applyAlignment="1" pivotButton="0" quotePrefix="0" xfId="0">
      <alignment horizontal="left" vertical="center"/>
    </xf>
    <xf numFmtId="2" fontId="1" fillId="5" borderId="12" applyAlignment="1" pivotButton="0" quotePrefix="0" xfId="0">
      <alignment horizontal="center" vertical="center"/>
    </xf>
    <xf numFmtId="2" fontId="1" fillId="5" borderId="12" applyAlignment="1" pivotButton="0" quotePrefix="0" xfId="0">
      <alignment horizontal="left" vertical="center"/>
    </xf>
    <xf numFmtId="2" fontId="4" fillId="5" borderId="12" applyAlignment="1" pivotButton="0" quotePrefix="0" xfId="0">
      <alignment horizontal="left" vertical="center"/>
    </xf>
    <xf numFmtId="2" fontId="1" fillId="0" borderId="12" applyAlignment="1" pivotButton="0" quotePrefix="0" xfId="0">
      <alignment horizontal="center" vertical="center"/>
    </xf>
    <xf numFmtId="2" fontId="1" fillId="0" borderId="56" applyAlignment="1" pivotButton="0" quotePrefix="0" xfId="1">
      <alignment horizontal="center" vertical="center"/>
    </xf>
    <xf numFmtId="1" fontId="1" fillId="0" borderId="12" applyAlignment="1" pivotButton="0" quotePrefix="0" xfId="0">
      <alignment horizontal="center" vertical="center"/>
    </xf>
    <xf numFmtId="2" fontId="1" fillId="0" borderId="10" applyAlignment="1" pivotButton="0" quotePrefix="0" xfId="0">
      <alignment horizontal="center" vertical="center"/>
    </xf>
    <xf numFmtId="2" fontId="1" fillId="0" borderId="23" applyAlignment="1" pivotButton="0" quotePrefix="0" xfId="0">
      <alignment horizontal="center" vertical="center"/>
    </xf>
    <xf numFmtId="2" fontId="1" fillId="5" borderId="6" applyAlignment="1" pivotButton="0" quotePrefix="0" xfId="0">
      <alignment horizontal="center" vertical="center"/>
    </xf>
    <xf numFmtId="2" fontId="1" fillId="5" borderId="6" applyAlignment="1" pivotButton="0" quotePrefix="0" xfId="0">
      <alignment horizontal="left" vertical="center"/>
    </xf>
    <xf numFmtId="2" fontId="4" fillId="5" borderId="6" applyAlignment="1" pivotButton="0" quotePrefix="0" xfId="0">
      <alignment horizontal="left" vertical="center"/>
    </xf>
    <xf numFmtId="2" fontId="1" fillId="0" borderId="6" applyAlignment="1" pivotButton="0" quotePrefix="0" xfId="0">
      <alignment horizontal="center" vertical="center"/>
    </xf>
    <xf numFmtId="2" fontId="1" fillId="0" borderId="7" applyAlignment="1" pivotButton="0" quotePrefix="0" xfId="1">
      <alignment horizontal="center" vertical="center"/>
    </xf>
    <xf numFmtId="1" fontId="1" fillId="0" borderId="6" applyAlignment="1" pivotButton="0" quotePrefix="0" xfId="0">
      <alignment horizontal="center" vertical="center"/>
    </xf>
    <xf numFmtId="2" fontId="1" fillId="0" borderId="22" applyAlignment="1" pivotButton="0" quotePrefix="0" xfId="0">
      <alignment horizontal="center" vertical="center"/>
    </xf>
    <xf numFmtId="2" fontId="1" fillId="5" borderId="35" applyAlignment="1" pivotButton="0" quotePrefix="0" xfId="0">
      <alignment horizontal="center" vertical="center"/>
    </xf>
    <xf numFmtId="2" fontId="1" fillId="5" borderId="43" applyAlignment="1" pivotButton="0" quotePrefix="0" xfId="0">
      <alignment horizontal="center" vertical="center"/>
    </xf>
    <xf numFmtId="0" fontId="1" fillId="5" borderId="12" applyAlignment="1" pivotButton="0" quotePrefix="0" xfId="0">
      <alignment horizontal="center" vertical="center"/>
    </xf>
    <xf numFmtId="0" fontId="4" fillId="5" borderId="12" applyAlignment="1" pivotButton="0" quotePrefix="0" xfId="0">
      <alignment horizontal="left" vertical="center"/>
    </xf>
    <xf numFmtId="164" fontId="1" fillId="5" borderId="11" applyAlignment="1" pivotButton="0" quotePrefix="0" xfId="1">
      <alignment horizontal="center" vertical="center"/>
    </xf>
    <xf numFmtId="164" fontId="1" fillId="5" borderId="36" applyAlignment="1" pivotButton="0" quotePrefix="0" xfId="1">
      <alignment horizontal="center" vertical="center"/>
    </xf>
    <xf numFmtId="3" fontId="1" fillId="2" borderId="67" applyAlignment="1" pivotButton="0" quotePrefix="0" xfId="0">
      <alignment horizontal="center" vertical="center"/>
    </xf>
    <xf numFmtId="3" fontId="1" fillId="2" borderId="68" applyAlignment="1" pivotButton="0" quotePrefix="0" xfId="0">
      <alignment horizontal="center" vertical="center"/>
    </xf>
    <xf numFmtId="0" fontId="1" fillId="5" borderId="39" applyAlignment="1" pivotButton="0" quotePrefix="0" xfId="0">
      <alignment horizontal="center" vertical="center"/>
    </xf>
    <xf numFmtId="0" fontId="1" fillId="2" borderId="39" applyAlignment="1" pivotButton="0" quotePrefix="0" xfId="0">
      <alignment horizontal="left" vertical="center"/>
    </xf>
    <xf numFmtId="0" fontId="7" fillId="0" borderId="39" applyAlignment="1" pivotButton="0" quotePrefix="0" xfId="0">
      <alignment horizontal="center" vertical="center"/>
    </xf>
    <xf numFmtId="0" fontId="7" fillId="0" borderId="62" applyAlignment="1" pivotButton="0" quotePrefix="0" xfId="0">
      <alignment horizontal="center" vertical="center"/>
    </xf>
    <xf numFmtId="0" fontId="7" fillId="0" borderId="69" applyAlignment="1" pivotButton="0" quotePrefix="0" xfId="0">
      <alignment horizontal="center" vertical="center"/>
    </xf>
    <xf numFmtId="0" fontId="1" fillId="2" borderId="35" applyAlignment="1" pivotButton="0" quotePrefix="0" xfId="0">
      <alignment horizontal="left" vertical="center"/>
    </xf>
    <xf numFmtId="0" fontId="7" fillId="0" borderId="70" applyAlignment="1" pivotButton="0" quotePrefix="0" xfId="0">
      <alignment horizontal="center" vertical="center"/>
    </xf>
    <xf numFmtId="0" fontId="7" fillId="0" borderId="57" applyAlignment="1" pivotButton="0" quotePrefix="0" xfId="0">
      <alignment horizontal="center" vertical="center"/>
    </xf>
    <xf numFmtId="0" fontId="7" fillId="0" borderId="43" applyAlignment="1" pivotButton="0" quotePrefix="0" xfId="0">
      <alignment horizontal="center" vertical="center"/>
    </xf>
    <xf numFmtId="0" fontId="7" fillId="0" borderId="49" applyAlignment="1" pivotButton="0" quotePrefix="0" xfId="0">
      <alignment horizontal="center" vertical="center"/>
    </xf>
    <xf numFmtId="0" fontId="1" fillId="2" borderId="58" applyAlignment="1" pivotButton="0" quotePrefix="0" xfId="0">
      <alignment horizontal="left" vertical="center"/>
    </xf>
    <xf numFmtId="0" fontId="1" fillId="5" borderId="71" applyAlignment="1" pivotButton="0" quotePrefix="0" xfId="0">
      <alignment horizontal="center" vertical="center"/>
    </xf>
    <xf numFmtId="0" fontId="1" fillId="2" borderId="40" applyAlignment="1" pivotButton="0" quotePrefix="0" xfId="0">
      <alignment horizontal="center" vertical="center"/>
    </xf>
    <xf numFmtId="0" fontId="1" fillId="2" borderId="40" applyAlignment="1" pivotButton="0" quotePrefix="0" xfId="0">
      <alignment horizontal="left" vertical="center"/>
    </xf>
    <xf numFmtId="0" fontId="1" fillId="0" borderId="71" applyAlignment="1" pivotButton="0" quotePrefix="0" xfId="0">
      <alignment horizontal="center" vertical="center"/>
    </xf>
    <xf numFmtId="0" fontId="1" fillId="0" borderId="71" applyAlignment="1" pivotButton="0" quotePrefix="0" xfId="0">
      <alignment horizontal="left" vertical="center"/>
    </xf>
    <xf numFmtId="0" fontId="1" fillId="5" borderId="71" applyAlignment="1" pivotButton="0" quotePrefix="0" xfId="0">
      <alignment horizontal="left" vertical="center"/>
    </xf>
    <xf numFmtId="164" fontId="1" fillId="0" borderId="72" applyAlignment="1" pivotButton="0" quotePrefix="0" xfId="1">
      <alignment horizontal="center" vertical="center"/>
    </xf>
    <xf numFmtId="3" fontId="1" fillId="0" borderId="72" applyAlignment="1" pivotButton="0" quotePrefix="0" xfId="1">
      <alignment horizontal="center" vertical="center"/>
    </xf>
    <xf numFmtId="3" fontId="1" fillId="0" borderId="71" applyAlignment="1" pivotButton="0" quotePrefix="0" xfId="0">
      <alignment horizontal="center" vertical="center"/>
    </xf>
    <xf numFmtId="0" fontId="1" fillId="0" borderId="73" applyAlignment="1" pivotButton="0" quotePrefix="0" xfId="0">
      <alignment horizontal="center" vertical="center"/>
    </xf>
    <xf numFmtId="0" fontId="1" fillId="5" borderId="74" applyAlignment="1" pivotButton="0" quotePrefix="0" xfId="0">
      <alignment horizontal="center" vertical="center"/>
    </xf>
    <xf numFmtId="0" fontId="1" fillId="0" borderId="74" applyAlignment="1" pivotButton="0" quotePrefix="0" xfId="0">
      <alignment horizontal="center" vertical="center"/>
    </xf>
    <xf numFmtId="0" fontId="1" fillId="0" borderId="74" applyAlignment="1" pivotButton="0" quotePrefix="0" xfId="0">
      <alignment horizontal="left" vertical="center"/>
    </xf>
    <xf numFmtId="0" fontId="1" fillId="5" borderId="74" applyAlignment="1" pivotButton="0" quotePrefix="0" xfId="0">
      <alignment horizontal="left" vertical="center"/>
    </xf>
    <xf numFmtId="164" fontId="1" fillId="0" borderId="75" applyAlignment="1" pivotButton="0" quotePrefix="0" xfId="1">
      <alignment horizontal="center" vertical="center"/>
    </xf>
    <xf numFmtId="3" fontId="1" fillId="0" borderId="75" applyAlignment="1" pivotButton="0" quotePrefix="0" xfId="1">
      <alignment horizontal="center" vertical="center"/>
    </xf>
    <xf numFmtId="3" fontId="1" fillId="0" borderId="74" applyAlignment="1" pivotButton="0" quotePrefix="0" xfId="0">
      <alignment horizontal="center" vertical="center"/>
    </xf>
    <xf numFmtId="0" fontId="1" fillId="0" borderId="76" applyAlignment="1" pivotButton="0" quotePrefix="0" xfId="0">
      <alignment horizontal="center" vertical="center"/>
    </xf>
    <xf numFmtId="0" fontId="1" fillId="7" borderId="6" applyAlignment="1" pivotButton="0" quotePrefix="0" xfId="0">
      <alignment horizontal="center" vertical="center"/>
    </xf>
    <xf numFmtId="0" fontId="1" fillId="2" borderId="58" applyAlignment="1" pivotButton="0" quotePrefix="0" xfId="0">
      <alignment horizontal="center" vertical="center"/>
    </xf>
    <xf numFmtId="0" fontId="1" fillId="0" borderId="77" applyAlignment="1" pivotButton="0" quotePrefix="0" xfId="0">
      <alignment horizontal="center" vertical="center"/>
    </xf>
    <xf numFmtId="0" fontId="1" fillId="0" borderId="78" applyAlignment="1" pivotButton="0" quotePrefix="0" xfId="0">
      <alignment horizontal="center" vertical="center"/>
    </xf>
    <xf numFmtId="0" fontId="1" fillId="2" borderId="52" applyAlignment="1" pivotButton="0" quotePrefix="0" xfId="0">
      <alignment horizontal="center" vertical="center"/>
    </xf>
    <xf numFmtId="0" fontId="1" fillId="0" borderId="79" applyAlignment="1" pivotButton="0" quotePrefix="0" xfId="0">
      <alignment horizontal="center" vertical="center"/>
    </xf>
    <xf numFmtId="164" fontId="1" fillId="5" borderId="44" applyAlignment="1" pivotButton="0" quotePrefix="0" xfId="1">
      <alignment horizontal="center" vertical="center"/>
    </xf>
    <xf numFmtId="3" fontId="1" fillId="5" borderId="44" applyAlignment="1" pivotButton="0" quotePrefix="0" xfId="1">
      <alignment horizontal="center" vertical="center"/>
    </xf>
    <xf numFmtId="3" fontId="1" fillId="5" borderId="43" applyAlignment="1" pivotButton="0" quotePrefix="0" xfId="0">
      <alignment horizontal="center" vertical="center"/>
    </xf>
    <xf numFmtId="0" fontId="1" fillId="5" borderId="80" applyAlignment="1" pivotButton="0" quotePrefix="0" xfId="0">
      <alignment horizontal="center" vertical="center"/>
    </xf>
    <xf numFmtId="164" fontId="1" fillId="5" borderId="47" applyAlignment="1" pivotButton="0" quotePrefix="0" xfId="1">
      <alignment horizontal="center" vertical="center"/>
    </xf>
    <xf numFmtId="3" fontId="1" fillId="5" borderId="47" applyAlignment="1" pivotButton="0" quotePrefix="0" xfId="1">
      <alignment horizontal="center" vertical="center"/>
    </xf>
    <xf numFmtId="3" fontId="1" fillId="5" borderId="46" applyAlignment="1" pivotButton="0" quotePrefix="0" xfId="0">
      <alignment horizontal="center" vertical="center"/>
    </xf>
    <xf numFmtId="0" fontId="1" fillId="5" borderId="78" applyAlignment="1" pivotButton="0" quotePrefix="0" xfId="0">
      <alignment horizontal="center" vertical="center"/>
    </xf>
    <xf numFmtId="0" fontId="1" fillId="0" borderId="81" applyAlignment="1" pivotButton="0" quotePrefix="0" xfId="0">
      <alignment horizontal="center" vertical="center"/>
    </xf>
    <xf numFmtId="0" fontId="4" fillId="2" borderId="12" applyAlignment="1" pivotButton="0" quotePrefix="0" xfId="0">
      <alignment horizontal="left" vertical="center"/>
    </xf>
    <xf numFmtId="0" fontId="10" fillId="0" borderId="12" applyAlignment="1" pivotButton="0" quotePrefix="0" xfId="0">
      <alignment horizontal="center" vertical="center"/>
    </xf>
    <xf numFmtId="0" fontId="4" fillId="2" borderId="52" applyAlignment="1" pivotButton="0" quotePrefix="0" xfId="0">
      <alignment horizontal="left" vertical="center"/>
    </xf>
    <xf numFmtId="2" fontId="1" fillId="5" borderId="10" applyAlignment="1" pivotButton="0" quotePrefix="0" xfId="0">
      <alignment horizontal="center" vertical="center"/>
    </xf>
    <xf numFmtId="2" fontId="1" fillId="5" borderId="10" applyAlignment="1" pivotButton="0" quotePrefix="0" xfId="0">
      <alignment horizontal="left" vertical="center"/>
    </xf>
    <xf numFmtId="2" fontId="4" fillId="5" borderId="10" applyAlignment="1" pivotButton="0" quotePrefix="0" xfId="0">
      <alignment horizontal="left" vertical="center"/>
    </xf>
    <xf numFmtId="2" fontId="1" fillId="0" borderId="11" applyAlignment="1" pivotButton="0" quotePrefix="0" xfId="1">
      <alignment horizontal="center" vertical="center"/>
    </xf>
    <xf numFmtId="1" fontId="1" fillId="0" borderId="10" applyAlignment="1" pivotButton="0" quotePrefix="0" xfId="0">
      <alignment horizontal="center" vertical="center"/>
    </xf>
    <xf numFmtId="1" fontId="1" fillId="0" borderId="8" applyAlignment="1" pivotButton="0" quotePrefix="0" xfId="0">
      <alignment horizontal="center" vertical="center"/>
    </xf>
    <xf numFmtId="0" fontId="1" fillId="5" borderId="39" applyAlignment="1" pivotButton="0" quotePrefix="0" xfId="0">
      <alignment horizontal="left" vertical="center"/>
    </xf>
    <xf numFmtId="0" fontId="4" fillId="5" borderId="39" applyAlignment="1" pivotButton="0" quotePrefix="0" xfId="0">
      <alignment horizontal="left" vertical="center"/>
    </xf>
    <xf numFmtId="0" fontId="4" fillId="5" borderId="46" applyAlignment="1" pivotButton="0" quotePrefix="0" xfId="0">
      <alignment horizontal="center" vertical="center"/>
    </xf>
    <xf numFmtId="0" fontId="4" fillId="5" borderId="74" applyAlignment="1" pivotButton="0" quotePrefix="0" xfId="0">
      <alignment horizontal="center" vertical="center"/>
    </xf>
    <xf numFmtId="0" fontId="4" fillId="5" borderId="74" applyAlignment="1" pivotButton="0" quotePrefix="0" xfId="0">
      <alignment horizontal="left" vertical="center"/>
    </xf>
    <xf numFmtId="164" fontId="1" fillId="5" borderId="75" applyAlignment="1" pivotButton="0" quotePrefix="0" xfId="1">
      <alignment horizontal="center" vertical="center"/>
    </xf>
    <xf numFmtId="0" fontId="1" fillId="7" borderId="7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49" fontId="13" fillId="8" borderId="83" applyAlignment="1" pivotButton="0" quotePrefix="0" xfId="0">
      <alignment horizontal="center" vertical="center"/>
    </xf>
    <xf numFmtId="49" fontId="13" fillId="8" borderId="84" applyAlignment="1" pivotButton="0" quotePrefix="0" xfId="0">
      <alignment horizontal="center" vertical="center"/>
    </xf>
    <xf numFmtId="49" fontId="13" fillId="8" borderId="85" applyAlignment="1" pivotButton="0" quotePrefix="0" xfId="0">
      <alignment horizontal="center" vertical="center"/>
    </xf>
    <xf numFmtId="49" fontId="14" fillId="9" borderId="83" applyAlignment="1" pivotButton="0" quotePrefix="0" xfId="0">
      <alignment horizontal="center" vertical="center"/>
    </xf>
    <xf numFmtId="49" fontId="14" fillId="9" borderId="84" applyAlignment="1" pivotButton="0" quotePrefix="0" xfId="0">
      <alignment horizontal="center" vertical="center"/>
    </xf>
    <xf numFmtId="49" fontId="14" fillId="9" borderId="86" applyAlignment="1" pivotButton="0" quotePrefix="0" xfId="0">
      <alignment horizontal="center" vertical="center"/>
    </xf>
    <xf numFmtId="49" fontId="15" fillId="10" borderId="87" applyAlignment="1" pivotButton="0" quotePrefix="0" xfId="0">
      <alignment horizontal="center" vertical="center"/>
    </xf>
    <xf numFmtId="49" fontId="15" fillId="10" borderId="87" applyAlignment="1" pivotButton="0" quotePrefix="0" xfId="0">
      <alignment horizontal="left" vertical="center"/>
    </xf>
    <xf numFmtId="1" fontId="15" fillId="10" borderId="87" applyAlignment="1" pivotButton="0" quotePrefix="0" xfId="0">
      <alignment horizontal="center" vertical="center"/>
    </xf>
    <xf numFmtId="1" fontId="15" fillId="10" borderId="87" applyAlignment="1" pivotButton="0" quotePrefix="0" xfId="0">
      <alignment horizontal="right" vertical="center"/>
    </xf>
    <xf numFmtId="164" fontId="15" fillId="10" borderId="87" applyAlignment="1" pivotButton="0" quotePrefix="0" xfId="0">
      <alignment horizontal="right" vertical="center"/>
    </xf>
    <xf numFmtId="164" fontId="15" fillId="10" borderId="88" applyAlignment="1" pivotButton="0" quotePrefix="0" xfId="0">
      <alignment horizontal="right" vertical="center"/>
    </xf>
    <xf numFmtId="164" fontId="15" fillId="10" borderId="86" applyAlignment="1" pivotButton="0" quotePrefix="0" xfId="0">
      <alignment horizontal="center" vertical="center"/>
    </xf>
    <xf numFmtId="49" fontId="15" fillId="10" borderId="89" applyAlignment="1" pivotButton="0" quotePrefix="0" xfId="0">
      <alignment horizontal="center" vertical="center"/>
    </xf>
    <xf numFmtId="49" fontId="15" fillId="10" borderId="89" applyAlignment="1" pivotButton="0" quotePrefix="0" xfId="0">
      <alignment horizontal="left" vertical="center"/>
    </xf>
    <xf numFmtId="1" fontId="15" fillId="10" borderId="89" applyAlignment="1" pivotButton="0" quotePrefix="0" xfId="0">
      <alignment horizontal="center" vertical="center"/>
    </xf>
    <xf numFmtId="1" fontId="15" fillId="10" borderId="89" applyAlignment="1" pivotButton="0" quotePrefix="0" xfId="0">
      <alignment horizontal="right" vertical="center"/>
    </xf>
    <xf numFmtId="164" fontId="15" fillId="10" borderId="89" applyAlignment="1" pivotButton="0" quotePrefix="0" xfId="0">
      <alignment horizontal="right" vertical="center"/>
    </xf>
    <xf numFmtId="164" fontId="15" fillId="10" borderId="90" applyAlignment="1" pivotButton="0" quotePrefix="0" xfId="0">
      <alignment horizontal="right" vertical="center"/>
    </xf>
    <xf numFmtId="49" fontId="15" fillId="10" borderId="83" applyAlignment="1" pivotButton="0" quotePrefix="0" xfId="0">
      <alignment horizontal="center" vertical="center"/>
    </xf>
    <xf numFmtId="49" fontId="15" fillId="10" borderId="83" applyAlignment="1" pivotButton="0" quotePrefix="0" xfId="0">
      <alignment horizontal="left" vertical="center"/>
    </xf>
    <xf numFmtId="1" fontId="15" fillId="10" borderId="83" applyAlignment="1" pivotButton="0" quotePrefix="0" xfId="0">
      <alignment horizontal="center" vertical="center"/>
    </xf>
    <xf numFmtId="1" fontId="15" fillId="10" borderId="83" applyAlignment="1" pivotButton="0" quotePrefix="0" xfId="0">
      <alignment horizontal="right" vertical="center"/>
    </xf>
    <xf numFmtId="164" fontId="15" fillId="10" borderId="83" applyAlignment="1" pivotButton="0" quotePrefix="0" xfId="0">
      <alignment horizontal="right" vertical="center"/>
    </xf>
    <xf numFmtId="49" fontId="15" fillId="10" borderId="91" applyAlignment="1" pivotButton="0" quotePrefix="0" xfId="0">
      <alignment horizontal="center" vertical="center"/>
    </xf>
    <xf numFmtId="49" fontId="15" fillId="10" borderId="91" applyAlignment="1" pivotButton="0" quotePrefix="0" xfId="0">
      <alignment horizontal="left" vertical="center"/>
    </xf>
    <xf numFmtId="1" fontId="15" fillId="10" borderId="91" applyAlignment="1" pivotButton="0" quotePrefix="0" xfId="0">
      <alignment horizontal="center" vertical="center"/>
    </xf>
    <xf numFmtId="1" fontId="15" fillId="10" borderId="91" applyAlignment="1" pivotButton="0" quotePrefix="0" xfId="0">
      <alignment horizontal="right" vertical="center"/>
    </xf>
    <xf numFmtId="49" fontId="15" fillId="10" borderId="92" applyAlignment="1" pivotButton="0" quotePrefix="0" xfId="0">
      <alignment horizontal="center" vertical="center"/>
    </xf>
    <xf numFmtId="1" fontId="15" fillId="10" borderId="92" applyAlignment="1" pivotButton="0" quotePrefix="0" xfId="0">
      <alignment horizontal="center" vertical="center"/>
    </xf>
    <xf numFmtId="1" fontId="15" fillId="10" borderId="92" applyAlignment="1" pivotButton="0" quotePrefix="0" xfId="0">
      <alignment horizontal="right" vertical="center"/>
    </xf>
    <xf numFmtId="164" fontId="15" fillId="10" borderId="93" applyAlignment="1" pivotButton="0" quotePrefix="0" xfId="0">
      <alignment horizontal="right" vertical="center"/>
    </xf>
    <xf numFmtId="164" fontId="15" fillId="10" borderId="94" applyAlignment="1" pivotButton="0" quotePrefix="0" xfId="0">
      <alignment horizontal="right" vertical="center"/>
    </xf>
    <xf numFmtId="49" fontId="15" fillId="10" borderId="95" applyAlignment="1" pivotButton="0" quotePrefix="0" xfId="0">
      <alignment horizontal="center" vertical="center"/>
    </xf>
    <xf numFmtId="49" fontId="15" fillId="10" borderId="95" applyAlignment="1" pivotButton="0" quotePrefix="0" xfId="0">
      <alignment horizontal="left" vertical="center"/>
    </xf>
    <xf numFmtId="1" fontId="15" fillId="10" borderId="95" applyAlignment="1" pivotButton="0" quotePrefix="0" xfId="0">
      <alignment horizontal="center" vertical="center"/>
    </xf>
    <xf numFmtId="1" fontId="15" fillId="10" borderId="95" applyAlignment="1" pivotButton="0" quotePrefix="0" xfId="0">
      <alignment horizontal="right" vertical="center"/>
    </xf>
    <xf numFmtId="164" fontId="15" fillId="10" borderId="95" applyAlignment="1" pivotButton="0" quotePrefix="0" xfId="0">
      <alignment horizontal="right" vertical="center"/>
    </xf>
    <xf numFmtId="164" fontId="15" fillId="10" borderId="96" applyAlignment="1" pivotButton="0" quotePrefix="0" xfId="0">
      <alignment horizontal="right" vertical="center"/>
    </xf>
    <xf numFmtId="164" fontId="15" fillId="10" borderId="97" applyAlignment="1" pivotButton="0" quotePrefix="0" xfId="0">
      <alignment horizontal="right" vertical="center"/>
    </xf>
    <xf numFmtId="49" fontId="15" fillId="10" borderId="98" applyAlignment="1" pivotButton="0" quotePrefix="0" xfId="0">
      <alignment horizontal="center" vertical="center"/>
    </xf>
    <xf numFmtId="49" fontId="15" fillId="10" borderId="99" applyAlignment="1" pivotButton="0" quotePrefix="0" xfId="0">
      <alignment horizontal="center" vertical="center"/>
    </xf>
    <xf numFmtId="49" fontId="15" fillId="10" borderId="99" applyAlignment="1" pivotButton="0" quotePrefix="0" xfId="0">
      <alignment horizontal="left" vertical="center"/>
    </xf>
    <xf numFmtId="1" fontId="15" fillId="10" borderId="99" applyAlignment="1" pivotButton="0" quotePrefix="0" xfId="0">
      <alignment horizontal="center" vertical="center"/>
    </xf>
    <xf numFmtId="1" fontId="15" fillId="10" borderId="99" applyAlignment="1" pivotButton="0" quotePrefix="0" xfId="0">
      <alignment horizontal="right" vertical="center"/>
    </xf>
    <xf numFmtId="164" fontId="15" fillId="10" borderId="99" applyAlignment="1" pivotButton="0" quotePrefix="0" xfId="0">
      <alignment horizontal="right" vertical="center"/>
    </xf>
    <xf numFmtId="164" fontId="15" fillId="10" borderId="100" applyAlignment="1" pivotButton="0" quotePrefix="0" xfId="0">
      <alignment horizontal="right" vertical="center"/>
    </xf>
    <xf numFmtId="49" fontId="15" fillId="10" borderId="101" applyAlignment="1" pivotButton="0" quotePrefix="0" xfId="0">
      <alignment horizontal="center" vertical="center"/>
    </xf>
    <xf numFmtId="49" fontId="15" fillId="10" borderId="102" applyAlignment="1" pivotButton="0" quotePrefix="0" xfId="0">
      <alignment horizontal="center" vertical="center"/>
    </xf>
    <xf numFmtId="49" fontId="15" fillId="10" borderId="102" applyAlignment="1" pivotButton="0" quotePrefix="0" xfId="0">
      <alignment horizontal="left" vertical="center"/>
    </xf>
    <xf numFmtId="1" fontId="15" fillId="10" borderId="102" applyAlignment="1" pivotButton="0" quotePrefix="0" xfId="0">
      <alignment horizontal="center" vertical="center"/>
    </xf>
    <xf numFmtId="1" fontId="15" fillId="10" borderId="102" applyAlignment="1" pivotButton="0" quotePrefix="0" xfId="0">
      <alignment horizontal="right" vertical="center"/>
    </xf>
    <xf numFmtId="164" fontId="15" fillId="10" borderId="102" applyAlignment="1" pivotButton="0" quotePrefix="0" xfId="0">
      <alignment horizontal="right" vertical="center"/>
    </xf>
    <xf numFmtId="164" fontId="15" fillId="10" borderId="103" applyAlignment="1" pivotButton="0" quotePrefix="0" xfId="0">
      <alignment horizontal="right" vertical="center"/>
    </xf>
    <xf numFmtId="49" fontId="15" fillId="10" borderId="104" applyAlignment="1" pivotButton="0" quotePrefix="0" xfId="0">
      <alignment horizontal="center" vertical="center"/>
    </xf>
    <xf numFmtId="49" fontId="15" fillId="10" borderId="104" applyAlignment="1" pivotButton="0" quotePrefix="0" xfId="0">
      <alignment horizontal="left" vertical="center"/>
    </xf>
    <xf numFmtId="1" fontId="15" fillId="10" borderId="104" applyAlignment="1" pivotButton="0" quotePrefix="0" xfId="0">
      <alignment horizontal="center" vertical="center"/>
    </xf>
    <xf numFmtId="1" fontId="15" fillId="10" borderId="104" applyAlignment="1" pivotButton="0" quotePrefix="0" xfId="0">
      <alignment horizontal="right" vertical="center"/>
    </xf>
    <xf numFmtId="164" fontId="15" fillId="10" borderId="104" applyAlignment="1" pivotButton="0" quotePrefix="0" xfId="0">
      <alignment horizontal="right" vertical="center"/>
    </xf>
    <xf numFmtId="164" fontId="15" fillId="10" borderId="105" applyAlignment="1" pivotButton="0" quotePrefix="0" xfId="0">
      <alignment horizontal="right" vertical="center"/>
    </xf>
    <xf numFmtId="49" fontId="15" fillId="10" borderId="106" applyAlignment="1" pivotButton="0" quotePrefix="0" xfId="0">
      <alignment horizontal="center" vertical="center"/>
    </xf>
    <xf numFmtId="164" fontId="15" fillId="10" borderId="84" applyAlignment="1" pivotButton="0" quotePrefix="0" xfId="0">
      <alignment horizontal="right" vertical="center"/>
    </xf>
    <xf numFmtId="0" fontId="17" fillId="8" borderId="83" applyAlignment="1" pivotButton="0" quotePrefix="0" xfId="0">
      <alignment horizontal="center" vertical="center"/>
    </xf>
    <xf numFmtId="1" fontId="17" fillId="8" borderId="83" applyAlignment="1" pivotButton="0" quotePrefix="0" xfId="0">
      <alignment horizontal="center" vertical="center"/>
    </xf>
    <xf numFmtId="1" fontId="17" fillId="8" borderId="83" applyAlignment="1" pivotButton="0" quotePrefix="0" xfId="0">
      <alignment horizontal="right" vertical="center"/>
    </xf>
    <xf numFmtId="1" fontId="17" fillId="8" borderId="107" applyAlignment="1" pivotButton="0" quotePrefix="0" xfId="0">
      <alignment horizontal="center" vertical="center"/>
    </xf>
    <xf numFmtId="164" fontId="15" fillId="10" borderId="83" applyAlignment="1" pivotButton="0" quotePrefix="0" xfId="0">
      <alignment vertical="center"/>
    </xf>
    <xf numFmtId="49" fontId="15" fillId="11" borderId="83" applyAlignment="1" pivotButton="0" quotePrefix="0" xfId="0">
      <alignment horizontal="center" vertical="center"/>
    </xf>
    <xf numFmtId="49" fontId="15" fillId="11" borderId="83" applyAlignment="1" pivotButton="0" quotePrefix="0" xfId="0">
      <alignment horizontal="left" vertical="center"/>
    </xf>
    <xf numFmtId="164" fontId="15" fillId="11" borderId="83" applyAlignment="1" pivotButton="0" quotePrefix="0" xfId="0">
      <alignment horizontal="right" vertical="center"/>
    </xf>
    <xf numFmtId="164" fontId="15" fillId="11" borderId="83" applyAlignment="1" pivotButton="0" quotePrefix="0" xfId="0">
      <alignment vertical="center"/>
    </xf>
    <xf numFmtId="164" fontId="15" fillId="10" borderId="91" applyAlignment="1" pivotButton="0" quotePrefix="0" xfId="0">
      <alignment horizontal="right" vertical="center"/>
    </xf>
    <xf numFmtId="49" fontId="15" fillId="10" borderId="92" applyAlignment="1" pivotButton="0" quotePrefix="0" xfId="0">
      <alignment horizontal="left" vertical="center"/>
    </xf>
    <xf numFmtId="164" fontId="15" fillId="10" borderId="92" applyAlignment="1" pivotButton="0" quotePrefix="0" xfId="0">
      <alignment horizontal="right" vertical="center"/>
    </xf>
    <xf numFmtId="164" fontId="15" fillId="10" borderId="92" applyAlignment="1" pivotButton="0" quotePrefix="0" xfId="0">
      <alignment vertical="center"/>
    </xf>
    <xf numFmtId="49" fontId="15" fillId="10" borderId="110" applyAlignment="1" pivotButton="0" quotePrefix="0" xfId="0">
      <alignment horizontal="center" vertical="center"/>
    </xf>
    <xf numFmtId="164" fontId="15" fillId="10" borderId="94" applyAlignment="1" pivotButton="0" quotePrefix="0" xfId="0">
      <alignment vertical="center"/>
    </xf>
    <xf numFmtId="49" fontId="15" fillId="10" borderId="111" applyAlignment="1" pivotButton="0" quotePrefix="0" xfId="0">
      <alignment horizontal="center" vertical="center"/>
    </xf>
    <xf numFmtId="49" fontId="15" fillId="10" borderId="106" applyAlignment="1" pivotButton="0" quotePrefix="0" xfId="0">
      <alignment horizontal="left" vertical="center"/>
    </xf>
    <xf numFmtId="1" fontId="15" fillId="10" borderId="106" applyAlignment="1" pivotButton="0" quotePrefix="0" xfId="0">
      <alignment horizontal="center" vertical="center"/>
    </xf>
    <xf numFmtId="1" fontId="15" fillId="10" borderId="106" applyAlignment="1" pivotButton="0" quotePrefix="0" xfId="0">
      <alignment horizontal="right" vertical="center"/>
    </xf>
    <xf numFmtId="164" fontId="15" fillId="10" borderId="106" applyAlignment="1" pivotButton="0" quotePrefix="0" xfId="0">
      <alignment horizontal="right" vertical="center"/>
    </xf>
    <xf numFmtId="49" fontId="15" fillId="10" borderId="113" applyAlignment="1" pivotButton="0" quotePrefix="0" xfId="0">
      <alignment horizontal="center" vertical="center"/>
    </xf>
    <xf numFmtId="49" fontId="15" fillId="10" borderId="114" applyAlignment="1" pivotButton="0" quotePrefix="0" xfId="0">
      <alignment horizontal="center" vertical="center"/>
    </xf>
    <xf numFmtId="49" fontId="15" fillId="10" borderId="115" applyAlignment="1" pivotButton="0" quotePrefix="0" xfId="0">
      <alignment horizontal="center" vertical="center"/>
    </xf>
    <xf numFmtId="0" fontId="17" fillId="8" borderId="91" applyAlignment="1" pivotButton="0" quotePrefix="0" xfId="0">
      <alignment horizontal="center" vertical="center"/>
    </xf>
    <xf numFmtId="1" fontId="17" fillId="8" borderId="91" applyAlignment="1" pivotButton="0" quotePrefix="0" xfId="0">
      <alignment horizontal="center" vertical="center"/>
    </xf>
    <xf numFmtId="1" fontId="17" fillId="8" borderId="91" applyAlignment="1" pivotButton="0" quotePrefix="0" xfId="0">
      <alignment horizontal="right" vertical="center"/>
    </xf>
    <xf numFmtId="1" fontId="17" fillId="8" borderId="91" applyAlignment="1" pivotButton="0" quotePrefix="0" xfId="0">
      <alignment vertical="center"/>
    </xf>
    <xf numFmtId="3" fontId="0" fillId="0" borderId="0" pivotButton="0" quotePrefix="0" xfId="0"/>
    <xf numFmtId="49" fontId="15" fillId="10" borderId="119" applyAlignment="1" pivotButton="0" quotePrefix="0" xfId="0">
      <alignment horizontal="center" vertical="center"/>
    </xf>
    <xf numFmtId="164" fontId="15" fillId="12" borderId="91" applyAlignment="1" pivotButton="0" quotePrefix="0" xfId="0">
      <alignment horizontal="right" vertical="center"/>
    </xf>
    <xf numFmtId="0" fontId="1" fillId="2" borderId="17" applyAlignment="1" pivotButton="0" quotePrefix="0" xfId="0">
      <alignment horizontal="center" vertical="center" wrapText="1"/>
    </xf>
    <xf numFmtId="0" fontId="1" fillId="2" borderId="29" applyAlignment="1" pivotButton="0" quotePrefix="0" xfId="0">
      <alignment horizontal="center" vertical="center" wrapText="1"/>
    </xf>
    <xf numFmtId="0" fontId="1" fillId="2" borderId="18" applyAlignment="1" pivotButton="0" quotePrefix="0" xfId="0">
      <alignment horizontal="center" vertical="center" wrapText="1"/>
    </xf>
    <xf numFmtId="165" fontId="1" fillId="5" borderId="0" applyAlignment="1" pivotButton="0" quotePrefix="0" xfId="0">
      <alignment horizontal="center" vertical="center"/>
    </xf>
    <xf numFmtId="165" fontId="1" fillId="5" borderId="1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1" fillId="2" borderId="3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1" fillId="2" borderId="5" applyAlignment="1" pivotButton="0" quotePrefix="0" xfId="0">
      <alignment horizontal="center" vertical="center" wrapText="1"/>
    </xf>
    <xf numFmtId="0" fontId="1" fillId="2" borderId="24" applyAlignment="1" pivotButton="0" quotePrefix="0" xfId="0">
      <alignment horizontal="center" vertical="center" wrapText="1"/>
    </xf>
    <xf numFmtId="0" fontId="1" fillId="2" borderId="20" applyAlignment="1" pivotButton="0" quotePrefix="0" xfId="0">
      <alignment horizontal="center" vertical="center" wrapText="1"/>
    </xf>
    <xf numFmtId="0" fontId="1" fillId="2" borderId="21" applyAlignment="1" pivotButton="0" quotePrefix="0" xfId="0">
      <alignment horizontal="center" vertical="center" wrapText="1"/>
    </xf>
    <xf numFmtId="0" fontId="1" fillId="2" borderId="33" applyAlignment="1" pivotButton="0" quotePrefix="0" xfId="0">
      <alignment horizontal="center" vertical="center" wrapText="1"/>
    </xf>
    <xf numFmtId="0" fontId="4" fillId="2" borderId="30" applyAlignment="1" pivotButton="0" quotePrefix="0" xfId="0">
      <alignment horizontal="center" vertical="center" wrapText="1"/>
    </xf>
    <xf numFmtId="0" fontId="4" fillId="2" borderId="31" applyAlignment="1" pivotButton="0" quotePrefix="0" xfId="0">
      <alignment horizontal="center" vertical="center" wrapText="1"/>
    </xf>
    <xf numFmtId="0" fontId="4" fillId="2" borderId="34" applyAlignment="1" pivotButton="0" quotePrefix="0" xfId="0">
      <alignment horizontal="center" vertical="center" wrapText="1"/>
    </xf>
    <xf numFmtId="16" fontId="1" fillId="2" borderId="13" applyAlignment="1" pivotButton="0" quotePrefix="0" xfId="0">
      <alignment horizontal="center" vertical="center" wrapText="1"/>
    </xf>
    <xf numFmtId="0" fontId="1" fillId="2" borderId="38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6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/>
    </xf>
    <xf numFmtId="0" fontId="1" fillId="0" borderId="39" applyAlignment="1" pivotButton="0" quotePrefix="0" xfId="0">
      <alignment horizontal="center" vertical="center"/>
    </xf>
    <xf numFmtId="0" fontId="1" fillId="0" borderId="39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 wrapText="1"/>
    </xf>
    <xf numFmtId="0" fontId="1" fillId="2" borderId="64" applyAlignment="1" pivotButton="0" quotePrefix="0" xfId="0">
      <alignment horizontal="center" vertical="center"/>
    </xf>
    <xf numFmtId="0" fontId="1" fillId="2" borderId="65" applyAlignment="1" pivotButton="0" quotePrefix="0" xfId="0">
      <alignment horizontal="center" vertical="center"/>
    </xf>
    <xf numFmtId="0" fontId="1" fillId="2" borderId="66" applyAlignment="1" pivotButton="0" quotePrefix="0" xfId="0">
      <alignment horizontal="center" vertical="center"/>
    </xf>
    <xf numFmtId="0" fontId="10" fillId="0" borderId="12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 wrapText="1"/>
    </xf>
    <xf numFmtId="0" fontId="10" fillId="0" borderId="12" applyAlignment="1" pivotButton="0" quotePrefix="0" xfId="0">
      <alignment horizontal="center" vertical="center" wrapText="1"/>
    </xf>
    <xf numFmtId="0" fontId="10" fillId="0" borderId="14" applyAlignment="1" pivotButton="0" quotePrefix="0" xfId="0">
      <alignment horizontal="center" vertical="center" wrapText="1"/>
    </xf>
    <xf numFmtId="16" fontId="1" fillId="2" borderId="20" applyAlignment="1" pivotButton="0" quotePrefix="0" xfId="0">
      <alignment horizontal="center" vertical="center" wrapText="1"/>
    </xf>
    <xf numFmtId="0" fontId="10" fillId="0" borderId="39" applyAlignment="1" pivotButton="0" quotePrefix="0" xfId="0">
      <alignment horizontal="center" vertical="center"/>
    </xf>
    <xf numFmtId="0" fontId="10" fillId="0" borderId="14" applyAlignment="1" pivotButton="0" quotePrefix="0" xfId="0">
      <alignment horizontal="center" vertical="center"/>
    </xf>
    <xf numFmtId="0" fontId="12" fillId="5" borderId="15" applyAlignment="1" pivotButton="0" quotePrefix="0" xfId="0">
      <alignment horizontal="center" vertical="center"/>
    </xf>
    <xf numFmtId="0" fontId="12" fillId="5" borderId="16" applyAlignment="1" pivotButton="0" quotePrefix="0" xfId="0">
      <alignment horizontal="center" vertical="center"/>
    </xf>
    <xf numFmtId="0" fontId="12" fillId="5" borderId="28" applyAlignment="1" pivotButton="0" quotePrefix="0" xfId="0">
      <alignment horizontal="center" vertical="center"/>
    </xf>
    <xf numFmtId="0" fontId="12" fillId="5" borderId="0" applyAlignment="1" pivotButton="0" quotePrefix="0" xfId="0">
      <alignment horizontal="center" vertical="center"/>
    </xf>
    <xf numFmtId="165" fontId="12" fillId="5" borderId="1" applyAlignment="1" pivotButton="0" quotePrefix="0" xfId="0">
      <alignment horizontal="left"/>
    </xf>
    <xf numFmtId="164" fontId="15" fillId="10" borderId="85" applyAlignment="1" pivotButton="0" quotePrefix="0" xfId="0">
      <alignment horizontal="center" vertical="center"/>
    </xf>
    <xf numFmtId="164" fontId="15" fillId="10" borderId="86" applyAlignment="1" pivotButton="0" quotePrefix="0" xfId="0">
      <alignment horizontal="center" vertical="center"/>
    </xf>
    <xf numFmtId="49" fontId="17" fillId="8" borderId="84" applyAlignment="1" pivotButton="0" quotePrefix="0" xfId="0">
      <alignment horizontal="center" vertical="center"/>
    </xf>
    <xf numFmtId="49" fontId="17" fillId="8" borderId="108" applyAlignment="1" pivotButton="0" quotePrefix="0" xfId="0">
      <alignment horizontal="center" vertical="center"/>
    </xf>
    <xf numFmtId="49" fontId="17" fillId="8" borderId="109" applyAlignment="1" pivotButton="0" quotePrefix="0" xfId="0">
      <alignment horizontal="center" vertical="center"/>
    </xf>
    <xf numFmtId="49" fontId="13" fillId="8" borderId="83" applyAlignment="1" pivotButton="0" quotePrefix="0" xfId="0">
      <alignment horizontal="center" vertical="center"/>
    </xf>
    <xf numFmtId="164" fontId="16" fillId="10" borderId="39" applyAlignment="1" pivotButton="0" quotePrefix="0" xfId="0">
      <alignment horizontal="center" vertical="center"/>
    </xf>
    <xf numFmtId="164" fontId="16" fillId="10" borderId="14" applyAlignment="1" pivotButton="0" quotePrefix="0" xfId="0">
      <alignment horizontal="center" vertical="center"/>
    </xf>
    <xf numFmtId="164" fontId="15" fillId="10" borderId="107" applyAlignment="1" pivotButton="0" quotePrefix="0" xfId="0">
      <alignment horizontal="center" vertical="center"/>
    </xf>
    <xf numFmtId="0" fontId="9" fillId="0" borderId="82" applyAlignment="1" pivotButton="0" quotePrefix="0" xfId="0">
      <alignment horizontal="center" vertical="center"/>
    </xf>
    <xf numFmtId="49" fontId="17" fillId="8" borderId="117" applyAlignment="1" pivotButton="0" quotePrefix="0" xfId="0">
      <alignment horizontal="center" vertical="center"/>
    </xf>
    <xf numFmtId="49" fontId="17" fillId="8" borderId="82" applyAlignment="1" pivotButton="0" quotePrefix="0" xfId="0">
      <alignment horizontal="center" vertical="center"/>
    </xf>
    <xf numFmtId="49" fontId="17" fillId="8" borderId="118" applyAlignment="1" pivotButton="0" quotePrefix="0" xfId="0">
      <alignment horizontal="center" vertical="center"/>
    </xf>
    <xf numFmtId="49" fontId="13" fillId="8" borderId="92" applyAlignment="1" pivotButton="0" quotePrefix="0" xfId="0">
      <alignment vertical="center"/>
    </xf>
    <xf numFmtId="49" fontId="13" fillId="8" borderId="91" applyAlignment="1" pivotButton="0" quotePrefix="0" xfId="0">
      <alignment vertical="center"/>
    </xf>
    <xf numFmtId="164" fontId="15" fillId="10" borderId="112" applyAlignment="1" pivotButton="0" quotePrefix="0" xfId="0">
      <alignment horizontal="center" vertical="center"/>
    </xf>
    <xf numFmtId="164" fontId="15" fillId="10" borderId="97" applyAlignment="1" pivotButton="0" quotePrefix="0" xfId="0">
      <alignment horizontal="center" vertical="center"/>
    </xf>
    <xf numFmtId="164" fontId="15" fillId="10" borderId="116" applyAlignment="1" pivotButton="0" quotePrefix="0" xfId="0">
      <alignment horizontal="center" vertical="center"/>
    </xf>
    <xf numFmtId="0" fontId="1" fillId="0" borderId="82" applyAlignment="1" pivotButton="0" quotePrefix="0" xfId="0">
      <alignment horizontal="center" vertical="center"/>
    </xf>
    <xf numFmtId="49" fontId="14" fillId="9" borderId="92" applyAlignment="1" pivotButton="0" quotePrefix="0" xfId="0">
      <alignment horizontal="center" vertical="center"/>
    </xf>
    <xf numFmtId="49" fontId="14" fillId="9" borderId="91" applyAlignment="1" pivotButton="0" quotePrefix="0" xfId="0">
      <alignment horizontal="center" vertical="center"/>
    </xf>
    <xf numFmtId="164" fontId="16" fillId="10" borderId="112" applyAlignment="1" pivotButton="0" quotePrefix="0" xfId="0">
      <alignment horizontal="center" vertical="center"/>
    </xf>
    <xf numFmtId="164" fontId="16" fillId="10" borderId="97" applyAlignment="1" pivotButton="0" quotePrefix="0" xfId="0">
      <alignment horizontal="center" vertical="center"/>
    </xf>
    <xf numFmtId="164" fontId="16" fillId="10" borderId="116" applyAlignment="1" pivotButton="0" quotePrefix="0" xfId="0">
      <alignment horizontal="center" vertical="center"/>
    </xf>
    <xf numFmtId="0" fontId="0" fillId="0" borderId="16" pivotButton="0" quotePrefix="0" xfId="0"/>
    <xf numFmtId="165" fontId="1" fillId="5" borderId="1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1" pivotButton="0" quotePrefix="0" xfId="0"/>
    <xf numFmtId="0" fontId="0" fillId="0" borderId="13" pivotButton="0" quotePrefix="0" xfId="0"/>
    <xf numFmtId="0" fontId="1" fillId="2" borderId="68" applyAlignment="1" pivotButton="0" quotePrefix="0" xfId="0">
      <alignment horizontal="center" vertical="center" wrapText="1"/>
    </xf>
    <xf numFmtId="0" fontId="0" fillId="0" borderId="124" pivotButton="0" quotePrefix="0" xfId="0"/>
    <xf numFmtId="0" fontId="0" fillId="0" borderId="127" pivotButton="0" quotePrefix="0" xfId="0"/>
    <xf numFmtId="0" fontId="0" fillId="0" borderId="126" pivotButton="0" quotePrefix="0" xfId="0"/>
    <xf numFmtId="0" fontId="0" fillId="0" borderId="130" pivotButton="0" quotePrefix="0" xfId="0"/>
    <xf numFmtId="0" fontId="0" fillId="0" borderId="29" pivotButton="0" quotePrefix="0" xfId="0"/>
    <xf numFmtId="0" fontId="0" fillId="0" borderId="125" pivotButton="0" quotePrefix="0" xfId="0"/>
    <xf numFmtId="0" fontId="0" fillId="0" borderId="128" pivotButton="0" quotePrefix="0" xfId="0"/>
    <xf numFmtId="0" fontId="0" fillId="0" borderId="129" pivotButton="0" quotePrefix="0" xfId="0"/>
    <xf numFmtId="0" fontId="0" fillId="0" borderId="131" pivotButton="0" quotePrefix="0" xfId="0"/>
    <xf numFmtId="0" fontId="0" fillId="0" borderId="18" pivotButton="0" quotePrefix="0" xfId="0"/>
    <xf numFmtId="164" fontId="1" fillId="0" borderId="47" applyAlignment="1" pivotButton="0" quotePrefix="0" xfId="1">
      <alignment horizontal="center" vertical="center"/>
    </xf>
    <xf numFmtId="0" fontId="0" fillId="0" borderId="12" pivotButton="0" quotePrefix="0" xfId="0"/>
    <xf numFmtId="164" fontId="1" fillId="0" borderId="50" applyAlignment="1" pivotButton="0" quotePrefix="0" xfId="1">
      <alignment horizontal="center" vertical="center"/>
    </xf>
    <xf numFmtId="164" fontId="1" fillId="0" borderId="44" applyAlignment="1" pivotButton="0" quotePrefix="0" xfId="1">
      <alignment horizontal="center" vertical="center"/>
    </xf>
    <xf numFmtId="164" fontId="1" fillId="0" borderId="53" applyAlignment="1" pivotButton="0" quotePrefix="0" xfId="1">
      <alignment horizontal="center" vertical="center"/>
    </xf>
    <xf numFmtId="164" fontId="1" fillId="0" borderId="7" applyAlignment="1" pivotButton="0" quotePrefix="0" xfId="1">
      <alignment horizontal="center" vertical="center"/>
    </xf>
    <xf numFmtId="164" fontId="1" fillId="0" borderId="56" applyAlignment="1" pivotButton="0" quotePrefix="0" xfId="1">
      <alignment horizontal="center" vertical="center"/>
    </xf>
    <xf numFmtId="164" fontId="1" fillId="0" borderId="55" applyAlignment="1" pivotButton="0" quotePrefix="0" xfId="1">
      <alignment horizontal="center" vertical="center"/>
    </xf>
    <xf numFmtId="164" fontId="1" fillId="0" borderId="59" applyAlignment="1" pivotButton="0" quotePrefix="0" xfId="1">
      <alignment horizontal="center" vertical="center"/>
    </xf>
    <xf numFmtId="0" fontId="0" fillId="0" borderId="14" pivotButton="0" quotePrefix="0" xfId="0"/>
    <xf numFmtId="0" fontId="1" fillId="0" borderId="122" applyAlignment="1" pivotButton="0" quotePrefix="0" xfId="0">
      <alignment horizontal="center" vertical="center" wrapText="1"/>
    </xf>
    <xf numFmtId="164" fontId="1" fillId="0" borderId="9" applyAlignment="1" pivotButton="0" quotePrefix="0" xfId="1">
      <alignment horizontal="center" vertical="center"/>
    </xf>
    <xf numFmtId="164" fontId="1" fillId="0" borderId="11" applyAlignment="1" pivotButton="0" quotePrefix="0" xfId="1">
      <alignment horizontal="center" vertical="center"/>
    </xf>
    <xf numFmtId="164" fontId="1" fillId="0" borderId="36" applyAlignment="1" pivotButton="0" quotePrefix="0" xfId="1">
      <alignment horizontal="center" vertical="center"/>
    </xf>
    <xf numFmtId="164" fontId="1" fillId="0" borderId="41" applyAlignment="1" pivotButton="0" quotePrefix="0" xfId="1">
      <alignment horizontal="center" vertical="center"/>
    </xf>
    <xf numFmtId="164" fontId="1" fillId="7" borderId="11" applyAlignment="1" pivotButton="0" quotePrefix="0" xfId="1">
      <alignment horizontal="center" vertical="center"/>
    </xf>
    <xf numFmtId="0" fontId="1" fillId="0" borderId="122" applyAlignment="1" pivotButton="0" quotePrefix="0" xfId="0">
      <alignment horizontal="center" vertical="center"/>
    </xf>
    <xf numFmtId="0" fontId="1" fillId="2" borderId="120" applyAlignment="1" pivotButton="0" quotePrefix="0" xfId="0">
      <alignment horizontal="center" vertical="center"/>
    </xf>
    <xf numFmtId="0" fontId="0" fillId="0" borderId="26" pivotButton="0" quotePrefix="0" xfId="0"/>
    <xf numFmtId="164" fontId="0" fillId="0" borderId="0" pivotButton="0" quotePrefix="0" xfId="0"/>
    <xf numFmtId="164" fontId="1" fillId="0" borderId="0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Normal 104 2" xfId="2"/>
    <cellStyle name="Normal 2 4 2 2 2 2 3 3 2 4 2 2 2 2 2 2 2 2 2 2 2 5 2 2 3 2 2 2 2 2 3 2" xfId="3"/>
    <cellStyle name="Normal 7 2 2 2 2 3 2 2 2" xfId="4"/>
    <cellStyle name="Normal 9 2 2 3 2 2 2" xfId="5"/>
  </cellStyles>
  <dxfs count="45"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AA75"/>
  <sheetViews>
    <sheetView tabSelected="1" view="pageBreakPreview" zoomScale="107" zoomScaleNormal="100" zoomScaleSheetLayoutView="80" workbookViewId="0">
      <pane xSplit="6" ySplit="5" topLeftCell="G6" activePane="bottomRight" state="frozen"/>
      <selection pane="topRight" activeCell="G1" sqref="G1"/>
      <selection pane="bottomLeft" activeCell="A6" sqref="A6"/>
      <selection pane="bottomRight" activeCell="J9" sqref="J9"/>
    </sheetView>
  </sheetViews>
  <sheetFormatPr baseColWidth="10" defaultColWidth="9.1640625" defaultRowHeight="12" customHeight="1"/>
  <cols>
    <col width="6.6640625" bestFit="1" customWidth="1" style="1" min="1" max="1"/>
    <col width="6.33203125" customWidth="1" style="1" min="2" max="2"/>
    <col width="7" bestFit="1" customWidth="1" style="1" min="3" max="3"/>
    <col width="38.33203125" bestFit="1" customWidth="1" style="1" min="4" max="4"/>
    <col width="12.6640625" bestFit="1" customWidth="1" style="1" min="5" max="5"/>
    <col width="17" bestFit="1" customWidth="1" style="1" min="6" max="6"/>
    <col width="17.5" bestFit="1" customWidth="1" style="1" min="7" max="7"/>
    <col width="19.33203125" bestFit="1" customWidth="1" style="1" min="8" max="8"/>
    <col width="4.83203125" customWidth="1" style="1" min="9" max="9"/>
    <col width="8.33203125" bestFit="1" customWidth="1" style="1" min="10" max="10"/>
    <col width="6.6640625" customWidth="1" style="1" min="11" max="20"/>
    <col hidden="1" width="6.6640625" customWidth="1" style="1" min="21" max="23"/>
    <col width="10.6640625" customWidth="1" style="1" min="24" max="24"/>
    <col width="33.6640625" bestFit="1" customWidth="1" style="1" min="25" max="25"/>
    <col width="9.6640625" customWidth="1" style="1" min="26" max="27"/>
    <col width="9.1640625" customWidth="1" style="1" min="28" max="29"/>
    <col width="11" bestFit="1" customWidth="1" style="1" min="30" max="30"/>
    <col width="9.1640625" customWidth="1" style="1" min="31" max="16384"/>
  </cols>
  <sheetData>
    <row r="1" ht="12" customHeight="1">
      <c r="A1" s="359" t="inlineStr">
        <is>
          <t>BALANCE OUTGOING MARKET</t>
        </is>
      </c>
      <c r="B1" s="424" t="n"/>
      <c r="C1" s="424" t="n"/>
      <c r="D1" s="424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32" t="n"/>
      <c r="O1" s="32" t="n"/>
      <c r="P1" s="32" t="n"/>
      <c r="Q1" s="32" t="n"/>
      <c r="R1" s="32" t="n"/>
      <c r="S1" s="32" t="n"/>
      <c r="T1" s="32" t="n"/>
      <c r="U1" s="32" t="n"/>
      <c r="V1" s="32" t="n"/>
      <c r="W1" s="32" t="n"/>
      <c r="X1" s="425" t="n">
        <v>46087</v>
      </c>
    </row>
    <row r="2" ht="12" customHeight="1" thickBot="1">
      <c r="A2" s="426" t="n"/>
      <c r="E2" s="33" t="n"/>
      <c r="F2" s="33" t="n"/>
      <c r="G2" s="33" t="n"/>
      <c r="H2" s="33" t="n"/>
      <c r="I2" s="33" t="n"/>
      <c r="J2" s="33" t="n"/>
      <c r="K2" s="33" t="n"/>
      <c r="L2" s="33" t="n"/>
      <c r="M2" s="33" t="n"/>
      <c r="N2" s="33" t="n"/>
      <c r="O2" s="33" t="n"/>
      <c r="P2" s="33" t="n"/>
      <c r="Q2" s="33" t="n"/>
      <c r="R2" s="33" t="n"/>
      <c r="S2" s="33" t="n"/>
      <c r="T2" s="33" t="n"/>
      <c r="U2" s="33" t="n"/>
      <c r="V2" s="33" t="n"/>
      <c r="W2" s="33" t="n"/>
      <c r="X2" s="427" t="n"/>
      <c r="Y2" s="427" t="n"/>
      <c r="Z2" s="427" t="n"/>
      <c r="AA2" s="427" t="n"/>
    </row>
    <row r="3" ht="12" customHeight="1">
      <c r="A3" s="363" t="inlineStr">
        <is>
          <t>PLANT</t>
        </is>
      </c>
      <c r="B3" s="366" t="inlineStr">
        <is>
          <t>ITEM CLASS</t>
        </is>
      </c>
      <c r="C3" s="366" t="inlineStr">
        <is>
          <t>LINE</t>
        </is>
      </c>
      <c r="D3" s="366" t="inlineStr">
        <is>
          <t>MODEL</t>
        </is>
      </c>
      <c r="E3" s="366" t="inlineStr">
        <is>
          <t>STYLE</t>
        </is>
      </c>
      <c r="F3" s="366" t="inlineStr">
        <is>
          <t>COLOR</t>
        </is>
      </c>
      <c r="G3" s="366" t="inlineStr">
        <is>
          <t>IP SPRAY (BEM)</t>
        </is>
      </c>
      <c r="H3" s="366" t="inlineStr">
        <is>
          <t>PAD PRINTING (BEP)</t>
        </is>
      </c>
      <c r="I3" s="366" t="inlineStr">
        <is>
          <t>GEN</t>
        </is>
      </c>
      <c r="J3" s="375" t="inlineStr">
        <is>
          <t>MARCH'26</t>
        </is>
      </c>
      <c r="K3" s="428" t="n"/>
      <c r="L3" s="428" t="n"/>
      <c r="M3" s="428" t="n"/>
      <c r="N3" s="428" t="n"/>
      <c r="O3" s="428" t="n"/>
      <c r="P3" s="428" t="n"/>
      <c r="Q3" s="428" t="n"/>
      <c r="R3" s="428" t="n"/>
      <c r="S3" s="428" t="n"/>
      <c r="T3" s="375" t="n"/>
      <c r="U3" s="375" t="n"/>
      <c r="V3" s="62" t="n"/>
      <c r="W3" s="63" t="n"/>
      <c r="X3" s="366" t="inlineStr">
        <is>
          <t>TOTAL</t>
        </is>
      </c>
      <c r="Y3" s="369" t="inlineStr">
        <is>
          <t>ISSUE</t>
        </is>
      </c>
      <c r="Z3" s="372" t="inlineStr">
        <is>
          <t>SCAN BEM/BEP</t>
        </is>
      </c>
      <c r="AA3" s="429" t="inlineStr">
        <is>
          <t>SCAN DI CKP</t>
        </is>
      </c>
    </row>
    <row r="4" ht="12" customHeight="1">
      <c r="A4" s="430" t="n"/>
      <c r="B4" s="431" t="n"/>
      <c r="C4" s="431" t="n"/>
      <c r="D4" s="431" t="n"/>
      <c r="E4" s="431" t="n"/>
      <c r="F4" s="431" t="n"/>
      <c r="G4" s="431" t="n"/>
      <c r="H4" s="431" t="n"/>
      <c r="I4" s="431" t="n"/>
      <c r="J4" s="367" t="n">
        <v>3</v>
      </c>
      <c r="K4" s="367" t="n">
        <v>4</v>
      </c>
      <c r="L4" s="367" t="n">
        <v>5</v>
      </c>
      <c r="M4" s="367" t="n">
        <v>6</v>
      </c>
      <c r="N4" s="367" t="n">
        <v>7</v>
      </c>
      <c r="O4" s="367" t="n">
        <v>9</v>
      </c>
      <c r="P4" s="367" t="n">
        <v>10</v>
      </c>
      <c r="Q4" s="367" t="n">
        <v>11</v>
      </c>
      <c r="R4" s="367" t="n">
        <v>12</v>
      </c>
      <c r="S4" s="367" t="n">
        <v>13</v>
      </c>
      <c r="T4" s="367" t="n">
        <v>14</v>
      </c>
      <c r="U4" s="367" t="n"/>
      <c r="V4" s="367" t="n"/>
      <c r="W4" s="367" t="n"/>
      <c r="X4" s="431" t="n"/>
      <c r="Y4" s="432" t="n"/>
      <c r="Z4" s="433" t="n"/>
      <c r="AA4" s="434" t="n"/>
    </row>
    <row r="5" ht="16.5" customHeight="1" thickBot="1">
      <c r="A5" s="435" t="n"/>
      <c r="B5" s="436" t="n"/>
      <c r="C5" s="436" t="n"/>
      <c r="D5" s="436" t="n"/>
      <c r="E5" s="436" t="n"/>
      <c r="F5" s="436" t="n"/>
      <c r="G5" s="436" t="n"/>
      <c r="H5" s="436" t="n"/>
      <c r="I5" s="436" t="n"/>
      <c r="J5" s="29" t="inlineStr">
        <is>
          <t>D+3</t>
        </is>
      </c>
      <c r="K5" s="29" t="inlineStr">
        <is>
          <t>D+2</t>
        </is>
      </c>
      <c r="L5" s="29" t="inlineStr">
        <is>
          <t>D+1</t>
        </is>
      </c>
      <c r="M5" s="29" t="inlineStr">
        <is>
          <t>DD</t>
        </is>
      </c>
      <c r="N5" s="29" t="inlineStr">
        <is>
          <t>D-1</t>
        </is>
      </c>
      <c r="O5" s="29" t="inlineStr">
        <is>
          <t>D-2</t>
        </is>
      </c>
      <c r="P5" s="30" t="inlineStr">
        <is>
          <t>D-3</t>
        </is>
      </c>
      <c r="Q5" s="30" t="inlineStr">
        <is>
          <t>D-4</t>
        </is>
      </c>
      <c r="R5" s="31" t="inlineStr">
        <is>
          <t>D-5</t>
        </is>
      </c>
      <c r="S5" s="31" t="inlineStr">
        <is>
          <t>D-6</t>
        </is>
      </c>
      <c r="T5" s="31" t="inlineStr">
        <is>
          <t>D-7</t>
        </is>
      </c>
      <c r="U5" s="31" t="n"/>
      <c r="V5" s="31" t="n"/>
      <c r="W5" s="31" t="n"/>
      <c r="X5" s="436" t="n"/>
      <c r="Y5" s="437" t="n"/>
      <c r="Z5" s="438" t="n"/>
      <c r="AA5" s="439" t="n"/>
    </row>
    <row r="6" ht="17.25" customHeight="1">
      <c r="A6" s="380" t="inlineStr">
        <is>
          <t>A</t>
        </is>
      </c>
      <c r="B6" s="67" t="inlineStr">
        <is>
          <t>II01</t>
        </is>
      </c>
      <c r="C6" s="68" t="inlineStr">
        <is>
          <t>FGA04</t>
        </is>
      </c>
      <c r="D6" s="69" t="inlineStr">
        <is>
          <t>DOWNSHIFTER 13 (M)</t>
        </is>
      </c>
      <c r="E6" s="70" t="inlineStr">
        <is>
          <t>FD6454-102</t>
        </is>
      </c>
      <c r="F6" s="68" t="inlineStr">
        <is>
          <t>PHOTON DUST</t>
        </is>
      </c>
      <c r="G6" s="68" t="inlineStr">
        <is>
          <t>No spray</t>
        </is>
      </c>
      <c r="H6" s="68" t="inlineStr">
        <is>
          <t>ASHEN SLATE</t>
        </is>
      </c>
      <c r="I6" s="68" t="inlineStr">
        <is>
          <t>ME</t>
        </is>
      </c>
      <c r="J6" s="440" t="n"/>
      <c r="K6" s="440" t="n"/>
      <c r="L6" s="440" t="n">
        <v>0</v>
      </c>
      <c r="M6" s="440" t="n">
        <v>24</v>
      </c>
      <c r="N6" s="440" t="n">
        <v>204</v>
      </c>
      <c r="O6" s="440" t="n">
        <v>416</v>
      </c>
      <c r="P6" s="440" t="n">
        <v>464</v>
      </c>
      <c r="Q6" s="440" t="n">
        <v>960</v>
      </c>
      <c r="R6" s="440" t="n">
        <v>1380</v>
      </c>
      <c r="S6" s="440" t="n">
        <v>1404</v>
      </c>
      <c r="T6" s="440" t="n">
        <v>984</v>
      </c>
      <c r="U6" s="440" t="n"/>
      <c r="V6" s="71" t="n"/>
      <c r="W6" s="71" t="n"/>
      <c r="X6" s="72">
        <f>SUM(J6:W6)</f>
        <v/>
      </c>
      <c r="Y6" s="116" t="n"/>
      <c r="Z6" s="68" t="n"/>
      <c r="AA6" s="73" t="n"/>
    </row>
    <row r="7" ht="17.25" customHeight="1" thickBot="1">
      <c r="A7" s="441" t="n"/>
      <c r="B7" s="74" t="inlineStr">
        <is>
          <t>II01</t>
        </is>
      </c>
      <c r="C7" s="75" t="inlineStr">
        <is>
          <t>FGA04</t>
        </is>
      </c>
      <c r="D7" s="76" t="inlineStr">
        <is>
          <t>NIKE DOWNSHIFTER 13 WIDE</t>
        </is>
      </c>
      <c r="E7" s="77" t="inlineStr">
        <is>
          <t>FJ1284-001</t>
        </is>
      </c>
      <c r="F7" s="75" t="inlineStr">
        <is>
          <t>WHITE</t>
        </is>
      </c>
      <c r="G7" s="75" t="inlineStr">
        <is>
          <t>No spray</t>
        </is>
      </c>
      <c r="H7" s="75" t="inlineStr">
        <is>
          <t>DK SMOKE GREY</t>
        </is>
      </c>
      <c r="I7" s="75" t="inlineStr">
        <is>
          <t>ME</t>
        </is>
      </c>
      <c r="J7" s="442" t="n">
        <v>0</v>
      </c>
      <c r="K7" s="442" t="n">
        <v>0</v>
      </c>
      <c r="L7" s="442" t="n">
        <v>0</v>
      </c>
      <c r="M7" s="442" t="n">
        <v>0</v>
      </c>
      <c r="N7" s="442" t="n">
        <v>0</v>
      </c>
      <c r="O7" s="442" t="n">
        <v>121</v>
      </c>
      <c r="P7" s="442" t="n">
        <v>180</v>
      </c>
      <c r="Q7" s="442" t="n">
        <v>360</v>
      </c>
      <c r="R7" s="442" t="n">
        <v>804</v>
      </c>
      <c r="S7" s="442" t="n">
        <v>804</v>
      </c>
      <c r="T7" s="442" t="n">
        <v>588</v>
      </c>
      <c r="U7" s="442" t="n"/>
      <c r="V7" s="78" t="n"/>
      <c r="W7" s="78" t="n"/>
      <c r="X7" s="79">
        <f>SUM(J7:W7)</f>
        <v/>
      </c>
      <c r="Y7" s="75" t="n"/>
      <c r="Z7" s="75" t="n"/>
      <c r="AA7" s="80" t="n"/>
    </row>
    <row r="8" ht="17.25" customHeight="1">
      <c r="A8" s="441" t="n"/>
      <c r="B8" s="64" t="inlineStr">
        <is>
          <t>II01</t>
        </is>
      </c>
      <c r="C8" s="50" t="inlineStr">
        <is>
          <t>FGA05</t>
        </is>
      </c>
      <c r="D8" s="65" t="inlineStr">
        <is>
          <t>AIR MAX 90 MESH LACE (PS)</t>
        </is>
      </c>
      <c r="E8" s="66" t="inlineStr">
        <is>
          <t>IR2963-008</t>
        </is>
      </c>
      <c r="F8" s="50" t="inlineStr">
        <is>
          <t>DK SMOKE GREY</t>
        </is>
      </c>
      <c r="G8" s="50" t="inlineStr">
        <is>
          <t>BLACK</t>
        </is>
      </c>
      <c r="H8" s="50" t="inlineStr">
        <is>
          <t>No spray</t>
        </is>
      </c>
      <c r="I8" s="50" t="inlineStr">
        <is>
          <t>PS</t>
        </is>
      </c>
      <c r="J8" s="443" t="n"/>
      <c r="K8" s="443" t="n"/>
      <c r="L8" s="443" t="n">
        <v>1</v>
      </c>
      <c r="M8" s="443" t="n"/>
      <c r="N8" s="443" t="n"/>
      <c r="O8" s="443" t="n"/>
      <c r="P8" s="443" t="n"/>
      <c r="Q8" s="443" t="n"/>
      <c r="R8" s="443" t="n"/>
      <c r="S8" s="443" t="n"/>
      <c r="T8" s="443" t="n"/>
      <c r="U8" s="443" t="n"/>
      <c r="V8" s="54" t="n"/>
      <c r="W8" s="54" t="n"/>
      <c r="X8" s="55">
        <f>SUM(J8:W8)</f>
        <v/>
      </c>
      <c r="Y8" s="50" t="n"/>
      <c r="Z8" s="50" t="n"/>
      <c r="AA8" s="56" t="n"/>
    </row>
    <row r="9" ht="17.25" customHeight="1">
      <c r="A9" s="441" t="n"/>
      <c r="B9" s="67" t="inlineStr">
        <is>
          <t>II01</t>
        </is>
      </c>
      <c r="C9" s="68" t="inlineStr">
        <is>
          <t>FGA05</t>
        </is>
      </c>
      <c r="D9" s="69" t="inlineStr">
        <is>
          <t>AIR MAX 90 MESH VS (PS)</t>
        </is>
      </c>
      <c r="E9" s="70" t="inlineStr">
        <is>
          <t>IV7239-008</t>
        </is>
      </c>
      <c r="F9" s="68" t="inlineStr">
        <is>
          <t>DK SMOKE GREY</t>
        </is>
      </c>
      <c r="G9" s="68" t="inlineStr">
        <is>
          <t>BLACK</t>
        </is>
      </c>
      <c r="H9" s="68" t="inlineStr">
        <is>
          <t>No spray</t>
        </is>
      </c>
      <c r="I9" s="68" t="inlineStr">
        <is>
          <t>PS</t>
        </is>
      </c>
      <c r="J9" s="440" t="n">
        <v>1032</v>
      </c>
      <c r="K9" s="440" t="n">
        <v>1194</v>
      </c>
      <c r="L9" s="440" t="n">
        <v>52</v>
      </c>
      <c r="M9" s="440" t="n"/>
      <c r="N9" s="440" t="n"/>
      <c r="O9" s="440" t="n"/>
      <c r="P9" s="440" t="n"/>
      <c r="Q9" s="440" t="n"/>
      <c r="R9" s="440" t="n"/>
      <c r="S9" s="440" t="n"/>
      <c r="T9" s="440" t="n"/>
      <c r="U9" s="440" t="n"/>
      <c r="V9" s="71" t="n"/>
      <c r="W9" s="71" t="n"/>
      <c r="X9" s="72">
        <f>SUM(J9:W9)</f>
        <v/>
      </c>
      <c r="Y9" s="125" t="inlineStr">
        <is>
          <t>PENDING PPW 03/03 ~ 03/05</t>
        </is>
      </c>
      <c r="Z9" s="68" t="n"/>
      <c r="AA9" s="73" t="n"/>
    </row>
    <row r="10" ht="17.25" customHeight="1">
      <c r="A10" s="441" t="n"/>
      <c r="B10" s="67" t="inlineStr">
        <is>
          <t>II01</t>
        </is>
      </c>
      <c r="C10" s="68" t="inlineStr">
        <is>
          <t>FGA05</t>
        </is>
      </c>
      <c r="D10" s="69" t="inlineStr">
        <is>
          <t>NIKE AIR MAX 90 LTR (PS)</t>
        </is>
      </c>
      <c r="E10" s="70" t="inlineStr">
        <is>
          <t>CD6867-001</t>
        </is>
      </c>
      <c r="F10" s="68" t="inlineStr">
        <is>
          <t>BLACK</t>
        </is>
      </c>
      <c r="G10" s="68" t="inlineStr">
        <is>
          <t>No spray</t>
        </is>
      </c>
      <c r="H10" s="68" t="inlineStr">
        <is>
          <t>No spray</t>
        </is>
      </c>
      <c r="I10" s="68" t="inlineStr">
        <is>
          <t>PS</t>
        </is>
      </c>
      <c r="J10" s="440" t="n"/>
      <c r="K10" s="440" t="n"/>
      <c r="L10" s="440" t="n"/>
      <c r="M10" s="440" t="n"/>
      <c r="N10" s="440" t="n"/>
      <c r="O10" s="440" t="n"/>
      <c r="P10" s="440" t="n"/>
      <c r="Q10" s="440" t="n"/>
      <c r="R10" s="440" t="n"/>
      <c r="S10" s="440" t="n">
        <v>893</v>
      </c>
      <c r="T10" s="440" t="n">
        <v>648</v>
      </c>
      <c r="U10" s="440" t="n"/>
      <c r="V10" s="71" t="n"/>
      <c r="W10" s="71" t="n"/>
      <c r="X10" s="72">
        <f>SUM(J10:W10)</f>
        <v/>
      </c>
      <c r="Y10" s="141" t="n"/>
      <c r="Z10" s="68" t="n"/>
      <c r="AA10" s="73" t="n"/>
    </row>
    <row r="11" ht="17.25" customHeight="1">
      <c r="A11" s="441" t="n"/>
      <c r="B11" s="68" t="inlineStr">
        <is>
          <t>IP01</t>
        </is>
      </c>
      <c r="C11" s="68" t="inlineStr">
        <is>
          <t>FGA05</t>
        </is>
      </c>
      <c r="D11" s="69" t="inlineStr">
        <is>
          <t>NIKE AIR MAX 90 LTR (PS)</t>
        </is>
      </c>
      <c r="E11" s="98" t="inlineStr">
        <is>
          <t>CD6867-100</t>
        </is>
      </c>
      <c r="F11" s="68" t="inlineStr">
        <is>
          <t>WHITE</t>
        </is>
      </c>
      <c r="G11" s="68" t="inlineStr">
        <is>
          <t>No spray</t>
        </is>
      </c>
      <c r="H11" s="68" t="inlineStr">
        <is>
          <t>No spray</t>
        </is>
      </c>
      <c r="I11" s="68" t="inlineStr">
        <is>
          <t>PS</t>
        </is>
      </c>
      <c r="J11" s="440" t="n"/>
      <c r="K11" s="440" t="n"/>
      <c r="L11" s="440" t="n">
        <v>0</v>
      </c>
      <c r="M11" s="440" t="n">
        <v>0</v>
      </c>
      <c r="N11" s="440" t="n">
        <v>0</v>
      </c>
      <c r="O11" s="440" t="n">
        <v>0</v>
      </c>
      <c r="P11" s="440" t="n">
        <v>96</v>
      </c>
      <c r="Q11" s="440" t="n">
        <v>467</v>
      </c>
      <c r="R11" s="440" t="n">
        <v>858</v>
      </c>
      <c r="S11" s="440" t="n">
        <v>7</v>
      </c>
      <c r="T11" s="440" t="n"/>
      <c r="U11" s="440" t="n"/>
      <c r="V11" s="71" t="n"/>
      <c r="W11" s="71" t="n"/>
      <c r="X11" s="72">
        <f>SUM(J11:W11)</f>
        <v/>
      </c>
      <c r="Y11" s="126" t="inlineStr">
        <is>
          <t>KE -2 COMBINE TALLYSHEET PPW 3/5 ~</t>
        </is>
      </c>
      <c r="Z11" s="68" t="n"/>
      <c r="AA11" s="73" t="n"/>
    </row>
    <row r="12" ht="17.25" customHeight="1">
      <c r="A12" s="441" t="n"/>
      <c r="B12" s="109" t="inlineStr">
        <is>
          <t>IP01</t>
        </is>
      </c>
      <c r="C12" s="109" t="inlineStr">
        <is>
          <t>FGA05</t>
        </is>
      </c>
      <c r="D12" s="110" t="inlineStr">
        <is>
          <t>NIKE AIR MAX 90 LTR (TD)</t>
        </is>
      </c>
      <c r="E12" s="111" t="inlineStr">
        <is>
          <t>CD6868-001</t>
        </is>
      </c>
      <c r="F12" s="109" t="inlineStr">
        <is>
          <t>BLACK</t>
        </is>
      </c>
      <c r="G12" s="109" t="inlineStr">
        <is>
          <t>No spray</t>
        </is>
      </c>
      <c r="H12" s="109" t="inlineStr">
        <is>
          <t>No spray</t>
        </is>
      </c>
      <c r="I12" s="109" t="inlineStr">
        <is>
          <t>TD</t>
        </is>
      </c>
      <c r="J12" s="444" t="n">
        <v>0</v>
      </c>
      <c r="K12" s="444" t="n">
        <v>0</v>
      </c>
      <c r="L12" s="444" t="n">
        <v>0</v>
      </c>
      <c r="M12" s="444" t="n">
        <v>0</v>
      </c>
      <c r="N12" s="444" t="n">
        <v>0</v>
      </c>
      <c r="O12" s="444" t="n">
        <v>18</v>
      </c>
      <c r="P12" s="444" t="n">
        <v>311</v>
      </c>
      <c r="Q12" s="444" t="n">
        <v>207</v>
      </c>
      <c r="R12" s="444" t="n"/>
      <c r="S12" s="444" t="n"/>
      <c r="T12" s="444" t="n"/>
      <c r="U12" s="444" t="n"/>
      <c r="V12" s="113" t="n"/>
      <c r="W12" s="113" t="n"/>
      <c r="X12" s="114">
        <f>SUM(J12:W12)</f>
        <v/>
      </c>
      <c r="Y12" s="109" t="inlineStr">
        <is>
          <t>KE-1</t>
        </is>
      </c>
      <c r="Z12" s="109" t="n"/>
      <c r="AA12" s="115" t="n"/>
    </row>
    <row r="13" ht="17.25" customHeight="1" thickBot="1">
      <c r="A13" s="441" t="n"/>
      <c r="B13" s="23" t="inlineStr">
        <is>
          <t>IP01</t>
        </is>
      </c>
      <c r="C13" s="23" t="inlineStr">
        <is>
          <t>FGA05</t>
        </is>
      </c>
      <c r="D13" s="138" t="inlineStr">
        <is>
          <t>NIKE AIR MAX 90 LTR (TD)</t>
        </is>
      </c>
      <c r="E13" s="8" t="inlineStr">
        <is>
          <t>CD6868-100</t>
        </is>
      </c>
      <c r="F13" s="23" t="inlineStr">
        <is>
          <t>WHITE</t>
        </is>
      </c>
      <c r="G13" s="23" t="inlineStr">
        <is>
          <t>No spray</t>
        </is>
      </c>
      <c r="H13" s="23" t="inlineStr">
        <is>
          <t>No spray</t>
        </is>
      </c>
      <c r="I13" s="23" t="inlineStr">
        <is>
          <t>TD</t>
        </is>
      </c>
      <c r="J13" s="445" t="n"/>
      <c r="K13" s="445" t="n"/>
      <c r="L13" s="445" t="n"/>
      <c r="M13" s="445" t="n"/>
      <c r="N13" s="445" t="n"/>
      <c r="O13" s="445" t="n"/>
      <c r="P13" s="445" t="n"/>
      <c r="Q13" s="445" t="n">
        <v>822</v>
      </c>
      <c r="R13" s="445" t="n">
        <v>1182</v>
      </c>
      <c r="S13" s="445" t="n">
        <v>1200</v>
      </c>
      <c r="T13" s="445" t="n">
        <v>852</v>
      </c>
      <c r="U13" s="445" t="n"/>
      <c r="V13" s="13" t="n"/>
      <c r="W13" s="13" t="n"/>
      <c r="X13" s="2">
        <f>SUM(J13:W13)</f>
        <v/>
      </c>
      <c r="Y13" s="23" t="n"/>
      <c r="Z13" s="23" t="n"/>
      <c r="AA13" s="28" t="n"/>
    </row>
    <row r="14" ht="17.25" customHeight="1" thickBot="1">
      <c r="A14" s="441" t="n"/>
      <c r="B14" s="379" t="inlineStr">
        <is>
          <t>IP01</t>
        </is>
      </c>
      <c r="C14" s="379" t="inlineStr">
        <is>
          <t>FGA07</t>
        </is>
      </c>
      <c r="D14" s="133" t="inlineStr">
        <is>
          <t>W NIKE M2K TEKNO</t>
        </is>
      </c>
      <c r="E14" s="134" t="inlineStr">
        <is>
          <t>BQ3378-100</t>
        </is>
      </c>
      <c r="F14" s="379" t="inlineStr">
        <is>
          <t>WHITE</t>
        </is>
      </c>
      <c r="G14" s="379" t="inlineStr">
        <is>
          <t>No spray</t>
        </is>
      </c>
      <c r="H14" s="379" t="inlineStr">
        <is>
          <t>No spray</t>
        </is>
      </c>
      <c r="I14" s="379" t="inlineStr">
        <is>
          <t>WO</t>
        </is>
      </c>
      <c r="J14" s="446" t="n"/>
      <c r="K14" s="446" t="n"/>
      <c r="L14" s="446" t="n"/>
      <c r="M14" s="446" t="n">
        <v>0</v>
      </c>
      <c r="N14" s="446" t="n">
        <v>0</v>
      </c>
      <c r="O14" s="446" t="n">
        <v>0</v>
      </c>
      <c r="P14" s="446" t="n">
        <v>0</v>
      </c>
      <c r="Q14" s="446" t="n">
        <v>281</v>
      </c>
      <c r="R14" s="446" t="n">
        <v>1932</v>
      </c>
      <c r="S14" s="446" t="n">
        <v>2004</v>
      </c>
      <c r="T14" s="446" t="n">
        <v>1404</v>
      </c>
      <c r="U14" s="446" t="n"/>
      <c r="V14" s="136" t="n"/>
      <c r="W14" s="136" t="n"/>
      <c r="X14" s="137">
        <f>SUM(J14:W14)</f>
        <v/>
      </c>
      <c r="Y14" s="379" t="n"/>
      <c r="Z14" s="379" t="n"/>
      <c r="AA14" s="43" t="n"/>
    </row>
    <row r="15" ht="17.25" customHeight="1" thickBot="1">
      <c r="A15" s="441" t="n"/>
      <c r="B15" s="381" t="inlineStr">
        <is>
          <t>IP01</t>
        </is>
      </c>
      <c r="C15" s="381" t="inlineStr">
        <is>
          <t>FGA10</t>
        </is>
      </c>
      <c r="D15" s="118" t="inlineStr">
        <is>
          <t>AIR MAX 2017 (M)</t>
        </is>
      </c>
      <c r="E15" s="118" t="inlineStr">
        <is>
          <t>849559-001</t>
        </is>
      </c>
      <c r="F15" s="381" t="inlineStr">
        <is>
          <t>BLACK</t>
        </is>
      </c>
      <c r="G15" s="381" t="inlineStr">
        <is>
          <t>No spray</t>
        </is>
      </c>
      <c r="H15" s="381" t="inlineStr">
        <is>
          <t>No spray</t>
        </is>
      </c>
      <c r="I15" s="381" t="inlineStr">
        <is>
          <t>ME</t>
        </is>
      </c>
      <c r="J15" s="447" t="n"/>
      <c r="K15" s="447" t="n">
        <v>0</v>
      </c>
      <c r="L15" s="447" t="n">
        <v>0</v>
      </c>
      <c r="M15" s="447" t="n">
        <v>0</v>
      </c>
      <c r="N15" s="447" t="n">
        <v>0</v>
      </c>
      <c r="O15" s="447" t="n">
        <v>0</v>
      </c>
      <c r="P15" s="447" t="n">
        <v>381</v>
      </c>
      <c r="Q15" s="447" t="n">
        <v>120</v>
      </c>
      <c r="R15" s="447" t="n">
        <v>997</v>
      </c>
      <c r="S15" s="447" t="n">
        <v>2184</v>
      </c>
      <c r="T15" s="447" t="n">
        <v>1620</v>
      </c>
      <c r="U15" s="447" t="n"/>
      <c r="V15" s="120" t="n"/>
      <c r="W15" s="120" t="n"/>
      <c r="X15" s="121">
        <f>SUM(J15:W15)</f>
        <v/>
      </c>
      <c r="Y15" s="381" t="n"/>
      <c r="Z15" s="381" t="n"/>
      <c r="AA15" s="122" t="n"/>
    </row>
    <row r="16" ht="17.25" customHeight="1">
      <c r="A16" s="441" t="n"/>
      <c r="B16" s="50" t="inlineStr">
        <is>
          <t>IP01</t>
        </is>
      </c>
      <c r="C16" s="50" t="inlineStr">
        <is>
          <t>FGA11</t>
        </is>
      </c>
      <c r="D16" s="65" t="inlineStr">
        <is>
          <t>P-6000 (TD)</t>
        </is>
      </c>
      <c r="E16" s="65" t="inlineStr">
        <is>
          <t>IO4646-017</t>
        </is>
      </c>
      <c r="F16" s="50" t="inlineStr">
        <is>
          <t>WHITE</t>
        </is>
      </c>
      <c r="G16" s="50" t="inlineStr">
        <is>
          <t>No spray</t>
        </is>
      </c>
      <c r="H16" s="50" t="inlineStr">
        <is>
          <t>No spray</t>
        </is>
      </c>
      <c r="I16" s="50" t="inlineStr">
        <is>
          <t>TD</t>
        </is>
      </c>
      <c r="J16" s="443" t="n"/>
      <c r="K16" s="443" t="n"/>
      <c r="L16" s="443" t="n"/>
      <c r="M16" s="443" t="n"/>
      <c r="N16" s="443" t="n"/>
      <c r="O16" s="443" t="n"/>
      <c r="P16" s="443" t="n">
        <v>1241</v>
      </c>
      <c r="Q16" s="443" t="n">
        <v>1836</v>
      </c>
      <c r="R16" s="443" t="n">
        <v>1848</v>
      </c>
      <c r="S16" s="443" t="n">
        <v>70</v>
      </c>
      <c r="T16" s="443" t="n">
        <v>569</v>
      </c>
      <c r="U16" s="443" t="n"/>
      <c r="V16" s="54" t="n"/>
      <c r="W16" s="54" t="n"/>
      <c r="X16" s="55">
        <f>SUM(J16:W16)</f>
        <v/>
      </c>
      <c r="Y16" s="50" t="n"/>
      <c r="Z16" s="50" t="n"/>
      <c r="AA16" s="56" t="n"/>
    </row>
    <row r="17" ht="17.25" customHeight="1">
      <c r="A17" s="441" t="n"/>
      <c r="B17" s="141" t="inlineStr">
        <is>
          <t>IP01</t>
        </is>
      </c>
      <c r="C17" s="141" t="inlineStr">
        <is>
          <t>FGA11</t>
        </is>
      </c>
      <c r="D17" s="142" t="inlineStr">
        <is>
          <t>P-6000 (TD)</t>
        </is>
      </c>
      <c r="E17" s="142" t="inlineStr">
        <is>
          <t>IO4646-023</t>
        </is>
      </c>
      <c r="F17" s="141" t="inlineStr">
        <is>
          <t>SUMMIT WHITE</t>
        </is>
      </c>
      <c r="G17" s="68" t="inlineStr">
        <is>
          <t>No spray</t>
        </is>
      </c>
      <c r="H17" s="68" t="inlineStr">
        <is>
          <t>No spray</t>
        </is>
      </c>
      <c r="I17" s="68" t="inlineStr">
        <is>
          <t>TD</t>
        </is>
      </c>
      <c r="J17" s="448" t="n"/>
      <c r="K17" s="448" t="n"/>
      <c r="L17" s="448" t="n"/>
      <c r="M17" s="448" t="n"/>
      <c r="N17" s="448" t="n"/>
      <c r="O17" s="448" t="n"/>
      <c r="P17" s="448" t="n"/>
      <c r="Q17" s="448" t="n"/>
      <c r="R17" s="448" t="n"/>
      <c r="S17" s="448" t="n">
        <v>1778</v>
      </c>
      <c r="T17" s="448" t="n">
        <v>751</v>
      </c>
      <c r="U17" s="448" t="n"/>
      <c r="V17" s="144" t="n"/>
      <c r="W17" s="144" t="n"/>
      <c r="X17" s="145">
        <f>SUM(J17:W17)</f>
        <v/>
      </c>
      <c r="Y17" s="141" t="n"/>
      <c r="Z17" s="141" t="n"/>
      <c r="AA17" s="146" t="n"/>
    </row>
    <row r="18" ht="17.25" customHeight="1">
      <c r="A18" s="441" t="n"/>
      <c r="B18" s="68" t="inlineStr">
        <is>
          <t>IP01</t>
        </is>
      </c>
      <c r="C18" s="68" t="inlineStr">
        <is>
          <t>FGA11</t>
        </is>
      </c>
      <c r="D18" s="69" t="inlineStr">
        <is>
          <t>P-6000 (TD)</t>
        </is>
      </c>
      <c r="E18" s="69" t="inlineStr">
        <is>
          <t>IO4646-104</t>
        </is>
      </c>
      <c r="F18" s="68" t="inlineStr">
        <is>
          <t>WHITE</t>
        </is>
      </c>
      <c r="G18" s="68" t="inlineStr">
        <is>
          <t>No spray</t>
        </is>
      </c>
      <c r="H18" s="68" t="inlineStr">
        <is>
          <t>No spray</t>
        </is>
      </c>
      <c r="I18" s="68" t="inlineStr">
        <is>
          <t>TD</t>
        </is>
      </c>
      <c r="J18" s="440" t="n">
        <v>0</v>
      </c>
      <c r="K18" s="440" t="n">
        <v>12</v>
      </c>
      <c r="L18" s="440" t="n">
        <v>0</v>
      </c>
      <c r="M18" s="440" t="n"/>
      <c r="N18" s="440" t="n"/>
      <c r="O18" s="440" t="n"/>
      <c r="P18" s="440" t="n"/>
      <c r="Q18" s="440" t="n"/>
      <c r="R18" s="440" t="n"/>
      <c r="S18" s="440" t="n"/>
      <c r="T18" s="440" t="n"/>
      <c r="U18" s="440" t="n"/>
      <c r="V18" s="71" t="n"/>
      <c r="W18" s="71" t="n"/>
      <c r="X18" s="72">
        <f>SUM(J18:W18)</f>
        <v/>
      </c>
      <c r="Y18" s="68" t="n"/>
      <c r="Z18" s="68" t="n"/>
      <c r="AA18" s="73" t="n"/>
    </row>
    <row r="19" ht="17.25" customHeight="1" thickBot="1">
      <c r="A19" s="441" t="n"/>
      <c r="B19" s="75" t="inlineStr">
        <is>
          <t>IP01</t>
        </is>
      </c>
      <c r="C19" s="75" t="inlineStr">
        <is>
          <t>FGA11</t>
        </is>
      </c>
      <c r="D19" s="76" t="inlineStr">
        <is>
          <t>P-6000 (TD)</t>
        </is>
      </c>
      <c r="E19" s="76" t="inlineStr">
        <is>
          <t>IO4646-105</t>
        </is>
      </c>
      <c r="F19" s="75" t="inlineStr">
        <is>
          <t>SAIL</t>
        </is>
      </c>
      <c r="G19" s="75" t="inlineStr">
        <is>
          <t>No spray</t>
        </is>
      </c>
      <c r="H19" s="75" t="inlineStr">
        <is>
          <t>No spray</t>
        </is>
      </c>
      <c r="I19" s="75" t="inlineStr">
        <is>
          <t>TD</t>
        </is>
      </c>
      <c r="J19" s="442" t="n"/>
      <c r="K19" s="442" t="n"/>
      <c r="L19" s="442" t="n">
        <v>60</v>
      </c>
      <c r="M19" s="442" t="n">
        <v>135</v>
      </c>
      <c r="N19" s="442" t="n">
        <v>108</v>
      </c>
      <c r="O19" s="442" t="n">
        <v>858</v>
      </c>
      <c r="P19" s="442" t="n">
        <v>421</v>
      </c>
      <c r="Q19" s="442" t="n"/>
      <c r="R19" s="442" t="n"/>
      <c r="S19" s="442" t="n"/>
      <c r="T19" s="442" t="n"/>
      <c r="U19" s="442" t="n"/>
      <c r="V19" s="78" t="n"/>
      <c r="W19" s="78" t="n"/>
      <c r="X19" s="79">
        <f>SUM(J19:W19)</f>
        <v/>
      </c>
      <c r="Y19" s="75" t="n"/>
      <c r="Z19" s="75" t="n"/>
      <c r="AA19" s="80" t="n"/>
    </row>
    <row r="20" ht="17.25" customHeight="1">
      <c r="A20" s="441" t="n"/>
      <c r="B20" s="109" t="inlineStr">
        <is>
          <t>IP02</t>
        </is>
      </c>
      <c r="C20" s="109" t="inlineStr">
        <is>
          <t>FGA16</t>
        </is>
      </c>
      <c r="D20" s="110" t="inlineStr">
        <is>
          <t>WMNS AIR MAX DAWN</t>
        </is>
      </c>
      <c r="E20" s="110" t="inlineStr">
        <is>
          <t>DC4068-001</t>
        </is>
      </c>
      <c r="F20" s="109" t="inlineStr">
        <is>
          <t>BLACK</t>
        </is>
      </c>
      <c r="G20" s="109" t="inlineStr">
        <is>
          <t>No spray</t>
        </is>
      </c>
      <c r="H20" s="109" t="inlineStr">
        <is>
          <t>No spray</t>
        </is>
      </c>
      <c r="I20" s="109" t="inlineStr">
        <is>
          <t>WO</t>
        </is>
      </c>
      <c r="J20" s="444" t="n"/>
      <c r="K20" s="444" t="n"/>
      <c r="L20" s="444" t="n"/>
      <c r="M20" s="444" t="n"/>
      <c r="N20" s="444" t="n"/>
      <c r="O20" s="444" t="n"/>
      <c r="P20" s="444" t="n">
        <v>21</v>
      </c>
      <c r="Q20" s="444" t="n">
        <v>926</v>
      </c>
      <c r="R20" s="444" t="n">
        <v>1200</v>
      </c>
      <c r="S20" s="444" t="n">
        <v>1200</v>
      </c>
      <c r="T20" s="444" t="n">
        <v>852</v>
      </c>
      <c r="U20" s="444" t="n"/>
      <c r="V20" s="113" t="n"/>
      <c r="W20" s="113" t="n"/>
      <c r="X20" s="114">
        <f>SUM(J20:W20)</f>
        <v/>
      </c>
      <c r="Y20" s="109" t="n"/>
      <c r="Z20" s="109" t="n"/>
      <c r="AA20" s="115" t="n"/>
    </row>
    <row r="21" ht="17.25" customHeight="1">
      <c r="A21" s="441" t="n"/>
      <c r="B21" s="109" t="inlineStr">
        <is>
          <t>IP03</t>
        </is>
      </c>
      <c r="C21" s="109" t="inlineStr">
        <is>
          <t>FGA16</t>
        </is>
      </c>
      <c r="D21" s="110" t="inlineStr">
        <is>
          <t>WMNS AIR MAX DAWN</t>
        </is>
      </c>
      <c r="E21" s="110" t="inlineStr">
        <is>
          <t>DC4068-001</t>
        </is>
      </c>
      <c r="F21" s="109" t="inlineStr">
        <is>
          <t>BLACK</t>
        </is>
      </c>
      <c r="G21" s="109" t="inlineStr">
        <is>
          <t>No spray</t>
        </is>
      </c>
      <c r="H21" s="109" t="inlineStr">
        <is>
          <t>No spray</t>
        </is>
      </c>
      <c r="I21" s="109" t="inlineStr">
        <is>
          <t>WO</t>
        </is>
      </c>
      <c r="J21" s="444" t="n"/>
      <c r="K21" s="444" t="n"/>
      <c r="L21" s="444" t="n"/>
      <c r="M21" s="444" t="n"/>
      <c r="N21" s="444" t="n"/>
      <c r="O21" s="444" t="n"/>
      <c r="P21" s="444" t="n">
        <v>21</v>
      </c>
      <c r="Q21" s="444" t="n">
        <v>926</v>
      </c>
      <c r="R21" s="444" t="n">
        <v>1200</v>
      </c>
      <c r="S21" s="444" t="n">
        <v>1200</v>
      </c>
      <c r="T21" s="444" t="n">
        <v>852</v>
      </c>
      <c r="U21" s="444" t="n"/>
      <c r="V21" s="113" t="n"/>
      <c r="W21" s="113" t="n"/>
      <c r="X21" s="114">
        <f>SUM(J21:W21)</f>
        <v/>
      </c>
      <c r="Y21" s="109" t="n"/>
      <c r="Z21" s="109" t="n"/>
      <c r="AA21" s="115" t="n"/>
    </row>
    <row r="22" ht="17.25" customHeight="1">
      <c r="A22" s="441" t="n"/>
      <c r="B22" s="68" t="inlineStr">
        <is>
          <t>IP02</t>
        </is>
      </c>
      <c r="C22" s="68" t="inlineStr">
        <is>
          <t>FGA16</t>
        </is>
      </c>
      <c r="D22" s="69" t="inlineStr">
        <is>
          <t>AIR MAX DAWN (M)</t>
        </is>
      </c>
      <c r="E22" s="69" t="inlineStr">
        <is>
          <t>FB7158-131</t>
        </is>
      </c>
      <c r="F22" s="68" t="inlineStr">
        <is>
          <t>DK DRIFTWOOD</t>
        </is>
      </c>
      <c r="G22" s="68" t="inlineStr">
        <is>
          <t>No spray</t>
        </is>
      </c>
      <c r="H22" s="68" t="inlineStr">
        <is>
          <t>No spray</t>
        </is>
      </c>
      <c r="I22" s="68" t="inlineStr">
        <is>
          <t>ME</t>
        </is>
      </c>
      <c r="J22" s="440" t="n">
        <v>0</v>
      </c>
      <c r="K22" s="440" t="n">
        <v>0</v>
      </c>
      <c r="L22" s="440" t="n">
        <v>0</v>
      </c>
      <c r="M22" s="440" t="n">
        <v>0</v>
      </c>
      <c r="N22" s="440" t="n">
        <v>0</v>
      </c>
      <c r="O22" s="440" t="n">
        <v>36</v>
      </c>
      <c r="P22" s="440" t="n">
        <v>206</v>
      </c>
      <c r="Q22" s="440" t="n"/>
      <c r="R22" s="440" t="n"/>
      <c r="S22" s="440" t="n"/>
      <c r="T22" s="440" t="n"/>
      <c r="U22" s="440" t="n"/>
      <c r="V22" s="71" t="n"/>
      <c r="W22" s="71" t="n"/>
      <c r="X22" s="72">
        <f>SUM(J22:W22)</f>
        <v/>
      </c>
      <c r="Y22" s="68" t="n"/>
      <c r="Z22" s="68" t="n"/>
      <c r="AA22" s="73" t="n"/>
    </row>
    <row r="23" ht="17.25" customHeight="1" thickBot="1">
      <c r="A23" s="449" t="n"/>
      <c r="B23" s="75" t="inlineStr">
        <is>
          <t>IP03</t>
        </is>
      </c>
      <c r="C23" s="75" t="inlineStr">
        <is>
          <t>FGA16</t>
        </is>
      </c>
      <c r="D23" s="76" t="inlineStr">
        <is>
          <t>AIR MAX DAWN (M)</t>
        </is>
      </c>
      <c r="E23" s="76" t="inlineStr">
        <is>
          <t>FB7158-131</t>
        </is>
      </c>
      <c r="F23" s="75" t="inlineStr">
        <is>
          <t>GORGE GREEN</t>
        </is>
      </c>
      <c r="G23" s="75" t="inlineStr">
        <is>
          <t>No spray</t>
        </is>
      </c>
      <c r="H23" s="75" t="inlineStr">
        <is>
          <t>No spray</t>
        </is>
      </c>
      <c r="I23" s="75" t="inlineStr">
        <is>
          <t>ME</t>
        </is>
      </c>
      <c r="J23" s="442" t="n">
        <v>0</v>
      </c>
      <c r="K23" s="442" t="n">
        <v>0</v>
      </c>
      <c r="L23" s="442" t="n">
        <v>0</v>
      </c>
      <c r="M23" s="442" t="n">
        <v>0</v>
      </c>
      <c r="N23" s="442" t="n">
        <v>0</v>
      </c>
      <c r="O23" s="442" t="n">
        <v>36</v>
      </c>
      <c r="P23" s="442" t="n">
        <v>206</v>
      </c>
      <c r="Q23" s="442" t="n"/>
      <c r="R23" s="442" t="n"/>
      <c r="S23" s="442" t="n"/>
      <c r="T23" s="442" t="n"/>
      <c r="U23" s="442" t="n"/>
      <c r="V23" s="78" t="n"/>
      <c r="W23" s="78" t="n"/>
      <c r="X23" s="79">
        <f>SUM(J23:W23)</f>
        <v/>
      </c>
      <c r="Y23" s="75" t="n"/>
      <c r="Z23" s="75" t="n"/>
      <c r="AA23" s="80" t="n"/>
    </row>
    <row r="24" ht="17.25" customHeight="1">
      <c r="A24" s="450" t="inlineStr">
        <is>
          <t>B</t>
        </is>
      </c>
      <c r="B24" s="21" t="inlineStr">
        <is>
          <t>IP01</t>
        </is>
      </c>
      <c r="C24" s="21" t="inlineStr">
        <is>
          <t>FGA17</t>
        </is>
      </c>
      <c r="D24" s="128" t="inlineStr">
        <is>
          <t>W NIKE LEGEND ESSENTIAL 3 NN</t>
        </is>
      </c>
      <c r="E24" s="128" t="inlineStr">
        <is>
          <t>DM1119-001</t>
        </is>
      </c>
      <c r="F24" s="21" t="inlineStr">
        <is>
          <t>WHITE</t>
        </is>
      </c>
      <c r="G24" s="21" t="inlineStr">
        <is>
          <t>No spray</t>
        </is>
      </c>
      <c r="H24" s="21" t="inlineStr">
        <is>
          <t>No spray</t>
        </is>
      </c>
      <c r="I24" s="21" t="inlineStr">
        <is>
          <t>WO</t>
        </is>
      </c>
      <c r="J24" s="451" t="n"/>
      <c r="K24" s="451" t="n"/>
      <c r="L24" s="451" t="n"/>
      <c r="M24" s="451" t="n"/>
      <c r="N24" s="451" t="n"/>
      <c r="O24" s="451" t="n"/>
      <c r="P24" s="451" t="n">
        <v>30</v>
      </c>
      <c r="Q24" s="451" t="n"/>
      <c r="R24" s="451" t="n"/>
      <c r="S24" s="451" t="n"/>
      <c r="T24" s="451" t="n"/>
      <c r="U24" s="451" t="n"/>
      <c r="V24" s="12" t="n"/>
      <c r="W24" s="12" t="n"/>
      <c r="X24" s="3">
        <f>SUM(J24:W24)</f>
        <v/>
      </c>
      <c r="Y24" s="21" t="n"/>
      <c r="Z24" s="68" t="n"/>
      <c r="AA24" s="73" t="n"/>
    </row>
    <row r="25" ht="17.25" customHeight="1">
      <c r="A25" s="441" t="n"/>
      <c r="B25" s="22" t="inlineStr">
        <is>
          <t>IP01</t>
        </is>
      </c>
      <c r="C25" s="22" t="inlineStr">
        <is>
          <t>FGA17</t>
        </is>
      </c>
      <c r="D25" s="147" t="inlineStr">
        <is>
          <t>W NIKE LEGEND ESSENTIAL 3 NN</t>
        </is>
      </c>
      <c r="E25" s="147" t="inlineStr">
        <is>
          <t>DM1119-101</t>
        </is>
      </c>
      <c r="F25" s="22" t="inlineStr">
        <is>
          <t>WHITE</t>
        </is>
      </c>
      <c r="G25" s="22" t="inlineStr">
        <is>
          <t>No spray</t>
        </is>
      </c>
      <c r="H25" s="22" t="inlineStr">
        <is>
          <t>No spray</t>
        </is>
      </c>
      <c r="I25" s="22" t="inlineStr">
        <is>
          <t>WO</t>
        </is>
      </c>
      <c r="J25" s="452" t="n"/>
      <c r="K25" s="452" t="n"/>
      <c r="L25" s="452" t="n"/>
      <c r="M25" s="452" t="n"/>
      <c r="N25" s="452" t="n"/>
      <c r="O25" s="452" t="n"/>
      <c r="P25" s="452" t="n"/>
      <c r="Q25" s="452" t="n">
        <v>318</v>
      </c>
      <c r="R25" s="452" t="n">
        <v>492</v>
      </c>
      <c r="S25" s="452" t="n">
        <v>876</v>
      </c>
      <c r="T25" s="452" t="n">
        <v>1126</v>
      </c>
      <c r="U25" s="452" t="n"/>
      <c r="V25" s="11" t="n"/>
      <c r="W25" s="11" t="n"/>
      <c r="X25" s="5">
        <f>SUM(J25:W25)</f>
        <v/>
      </c>
      <c r="Y25" s="22" t="n"/>
      <c r="Z25" s="109" t="n"/>
      <c r="AA25" s="115" t="n"/>
    </row>
    <row r="26" ht="17.25" customHeight="1" thickBot="1">
      <c r="A26" s="441" t="n"/>
      <c r="B26" s="22" t="inlineStr">
        <is>
          <t>IP01</t>
        </is>
      </c>
      <c r="C26" s="22" t="inlineStr">
        <is>
          <t>FGA17</t>
        </is>
      </c>
      <c r="D26" s="147" t="inlineStr">
        <is>
          <t>M NIKE LEGEND ESSENTIAL 3 NN</t>
        </is>
      </c>
      <c r="E26" s="147" t="inlineStr">
        <is>
          <t>DM1120-001</t>
        </is>
      </c>
      <c r="F26" s="22" t="inlineStr">
        <is>
          <t>WHITE</t>
        </is>
      </c>
      <c r="G26" s="22" t="inlineStr">
        <is>
          <t>No spray</t>
        </is>
      </c>
      <c r="H26" s="22" t="inlineStr">
        <is>
          <t>No spray</t>
        </is>
      </c>
      <c r="I26" s="22" t="inlineStr">
        <is>
          <t>ME</t>
        </is>
      </c>
      <c r="J26" s="452" t="n"/>
      <c r="K26" s="452" t="n"/>
      <c r="L26" s="452" t="n"/>
      <c r="M26" s="452" t="n"/>
      <c r="N26" s="452" t="n"/>
      <c r="O26" s="452" t="n"/>
      <c r="P26" s="452" t="n">
        <v>408</v>
      </c>
      <c r="Q26" s="452" t="n"/>
      <c r="R26" s="452" t="n"/>
      <c r="S26" s="452" t="n"/>
      <c r="T26" s="452" t="n"/>
      <c r="U26" s="452" t="n"/>
      <c r="V26" s="11" t="n"/>
      <c r="W26" s="11" t="n"/>
      <c r="X26" s="5">
        <f>SUM(J26:W26)</f>
        <v/>
      </c>
      <c r="Y26" s="22" t="n"/>
      <c r="Z26" s="75" t="n"/>
      <c r="AA26" s="80" t="n"/>
    </row>
    <row r="27" ht="17.25" customHeight="1" thickBot="1">
      <c r="A27" s="449" t="n"/>
      <c r="B27" s="23" t="inlineStr">
        <is>
          <t>IP01</t>
        </is>
      </c>
      <c r="C27" s="23" t="inlineStr">
        <is>
          <t>FGA17</t>
        </is>
      </c>
      <c r="D27" s="138" t="inlineStr">
        <is>
          <t>M NIKE LEGEND ESSENTIAL 3 NN</t>
        </is>
      </c>
      <c r="E27" s="138" t="inlineStr">
        <is>
          <t>DM1120-402</t>
        </is>
      </c>
      <c r="F27" s="23" t="inlineStr">
        <is>
          <t>WHITE</t>
        </is>
      </c>
      <c r="G27" s="23" t="inlineStr">
        <is>
          <t>No spray</t>
        </is>
      </c>
      <c r="H27" s="23" t="inlineStr">
        <is>
          <t>No spray</t>
        </is>
      </c>
      <c r="I27" s="23" t="n"/>
      <c r="J27" s="445" t="n"/>
      <c r="K27" s="445" t="n"/>
      <c r="L27" s="445" t="n"/>
      <c r="M27" s="445" t="n"/>
      <c r="N27" s="445" t="n"/>
      <c r="O27" s="445" t="n"/>
      <c r="P27" s="445" t="n"/>
      <c r="Q27" s="445" t="n"/>
      <c r="R27" s="445" t="n"/>
      <c r="S27" s="445" t="n"/>
      <c r="T27" s="445" t="n">
        <v>990</v>
      </c>
      <c r="U27" s="445" t="n"/>
      <c r="V27" s="13" t="n"/>
      <c r="W27" s="13" t="n"/>
      <c r="X27" s="2">
        <f>SUM(J27:W27)</f>
        <v/>
      </c>
      <c r="Y27" s="23" t="n"/>
      <c r="Z27" s="379" t="n"/>
      <c r="AA27" s="43" t="n"/>
    </row>
    <row r="28" ht="17.25" customHeight="1">
      <c r="A28" s="450" t="inlineStr">
        <is>
          <t>C</t>
        </is>
      </c>
      <c r="B28" s="21" t="inlineStr">
        <is>
          <t>IP01</t>
        </is>
      </c>
      <c r="C28" s="21" t="inlineStr">
        <is>
          <t>FGA22</t>
        </is>
      </c>
      <c r="D28" s="128" t="inlineStr">
        <is>
          <t xml:space="preserve">NIKE ZOOM VOMERO 5 </t>
        </is>
      </c>
      <c r="E28" s="128" t="inlineStr">
        <is>
          <t>IM3486-003</t>
        </is>
      </c>
      <c r="F28" s="21" t="inlineStr">
        <is>
          <t>BLACK</t>
        </is>
      </c>
      <c r="G28" s="21" t="inlineStr">
        <is>
          <t>No spray</t>
        </is>
      </c>
      <c r="H28" s="21" t="inlineStr">
        <is>
          <t>No spray</t>
        </is>
      </c>
      <c r="I28" s="21" t="inlineStr">
        <is>
          <t>ME</t>
        </is>
      </c>
      <c r="J28" s="451" t="n"/>
      <c r="K28" s="451" t="n"/>
      <c r="L28" s="451" t="n"/>
      <c r="M28" s="451" t="n"/>
      <c r="N28" s="451" t="n"/>
      <c r="O28" s="451" t="n"/>
      <c r="P28" s="451" t="n"/>
      <c r="Q28" s="451" t="n"/>
      <c r="R28" s="451" t="n"/>
      <c r="S28" s="451" t="n">
        <v>1024</v>
      </c>
      <c r="T28" s="451" t="n">
        <v>2928</v>
      </c>
      <c r="U28" s="451" t="n"/>
      <c r="V28" s="12" t="n"/>
      <c r="W28" s="12" t="n"/>
      <c r="X28" s="3">
        <f>SUM(J28:W28)</f>
        <v/>
      </c>
      <c r="Y28" s="21" t="n"/>
      <c r="Z28" s="21" t="n"/>
      <c r="AA28" s="26" t="n"/>
    </row>
    <row r="29" ht="17.25" customHeight="1" thickBot="1">
      <c r="A29" s="441" t="n"/>
      <c r="B29" s="4" t="inlineStr">
        <is>
          <t>II91</t>
        </is>
      </c>
      <c r="C29" s="22" t="inlineStr">
        <is>
          <t>FGA22</t>
        </is>
      </c>
      <c r="D29" s="147" t="inlineStr">
        <is>
          <t>NIKE ZOOM VOMERO 5</t>
        </is>
      </c>
      <c r="E29" s="149" t="inlineStr">
        <is>
          <t>IM3486-003</t>
        </is>
      </c>
      <c r="F29" s="22" t="inlineStr">
        <is>
          <t>COCONUT MILK</t>
        </is>
      </c>
      <c r="G29" s="22" t="inlineStr">
        <is>
          <t>No spray</t>
        </is>
      </c>
      <c r="H29" s="22" t="inlineStr">
        <is>
          <t>No spray</t>
        </is>
      </c>
      <c r="I29" s="22" t="inlineStr">
        <is>
          <t>ME</t>
        </is>
      </c>
      <c r="J29" s="452" t="n"/>
      <c r="K29" s="452" t="n"/>
      <c r="L29" s="452" t="n"/>
      <c r="M29" s="452" t="n"/>
      <c r="N29" s="452" t="n"/>
      <c r="O29" s="452" t="n"/>
      <c r="P29" s="452" t="n"/>
      <c r="Q29" s="452" t="n"/>
      <c r="R29" s="452" t="n"/>
      <c r="S29" s="452" t="n">
        <v>927</v>
      </c>
      <c r="T29" s="452" t="n">
        <v>2928</v>
      </c>
      <c r="U29" s="452" t="n"/>
      <c r="V29" s="11" t="n"/>
      <c r="W29" s="11" t="n"/>
      <c r="X29" s="5">
        <f>SUM(J29:W29)</f>
        <v/>
      </c>
      <c r="Y29" s="22" t="n"/>
      <c r="Z29" s="22" t="n"/>
      <c r="AA29" s="27" t="n"/>
    </row>
    <row r="30" ht="17.25" customHeight="1">
      <c r="A30" s="441" t="n"/>
      <c r="B30" s="15" t="inlineStr">
        <is>
          <t>IP01</t>
        </is>
      </c>
      <c r="C30" s="21" t="inlineStr">
        <is>
          <t>FGA23</t>
        </is>
      </c>
      <c r="D30" s="128" t="inlineStr">
        <is>
          <t>NIKE ZOOM VOMERO 5</t>
        </is>
      </c>
      <c r="E30" s="14" t="inlineStr">
        <is>
          <t>HF0731-007</t>
        </is>
      </c>
      <c r="F30" s="21" t="inlineStr">
        <is>
          <t>BLACK</t>
        </is>
      </c>
      <c r="G30" s="21" t="inlineStr">
        <is>
          <t>No spray</t>
        </is>
      </c>
      <c r="H30" s="21" t="inlineStr">
        <is>
          <t>No spray</t>
        </is>
      </c>
      <c r="I30" s="21" t="inlineStr">
        <is>
          <t>ME</t>
        </is>
      </c>
      <c r="J30" s="451" t="n"/>
      <c r="K30" s="451" t="n"/>
      <c r="L30" s="451" t="n"/>
      <c r="M30" s="451" t="n"/>
      <c r="N30" s="451" t="n"/>
      <c r="O30" s="451" t="n"/>
      <c r="P30" s="451" t="n"/>
      <c r="Q30" s="451" t="n"/>
      <c r="R30" s="451" t="n"/>
      <c r="S30" s="451" t="n">
        <v>30</v>
      </c>
      <c r="T30" s="451" t="n"/>
      <c r="U30" s="451" t="n"/>
      <c r="V30" s="12" t="n"/>
      <c r="W30" s="12" t="n"/>
      <c r="X30" s="3">
        <f>SUM(J30:W30)</f>
        <v/>
      </c>
      <c r="Y30" s="21" t="n"/>
      <c r="Z30" s="21" t="n"/>
      <c r="AA30" s="26" t="n"/>
    </row>
    <row r="31" ht="17.25" customHeight="1">
      <c r="A31" s="441" t="n"/>
      <c r="B31" s="4" t="inlineStr">
        <is>
          <t>II91</t>
        </is>
      </c>
      <c r="C31" s="22" t="inlineStr">
        <is>
          <t>FGA23</t>
        </is>
      </c>
      <c r="D31" s="147" t="inlineStr">
        <is>
          <t>NIKE ZOOM VOMERO 5</t>
        </is>
      </c>
      <c r="E31" s="149" t="inlineStr">
        <is>
          <t>HF0731-007</t>
        </is>
      </c>
      <c r="F31" s="22" t="inlineStr">
        <is>
          <t>CASHMERE</t>
        </is>
      </c>
      <c r="G31" s="22" t="inlineStr">
        <is>
          <t>No spray</t>
        </is>
      </c>
      <c r="H31" s="22" t="inlineStr">
        <is>
          <t>No spray</t>
        </is>
      </c>
      <c r="I31" s="22" t="inlineStr">
        <is>
          <t>ME</t>
        </is>
      </c>
      <c r="J31" s="452" t="n"/>
      <c r="K31" s="452" t="n"/>
      <c r="L31" s="452" t="n"/>
      <c r="M31" s="452" t="n"/>
      <c r="N31" s="452" t="n"/>
      <c r="O31" s="452" t="n"/>
      <c r="P31" s="452" t="n"/>
      <c r="Q31" s="452" t="n"/>
      <c r="R31" s="452" t="n"/>
      <c r="S31" s="452" t="n">
        <v>30</v>
      </c>
      <c r="T31" s="452" t="n"/>
      <c r="U31" s="452" t="n"/>
      <c r="V31" s="11" t="n"/>
      <c r="W31" s="11" t="n"/>
      <c r="X31" s="5">
        <f>SUM(J31:W31)</f>
        <v/>
      </c>
      <c r="Y31" s="22" t="n"/>
      <c r="Z31" s="22" t="n"/>
      <c r="AA31" s="27" t="n"/>
    </row>
    <row r="32" ht="17.25" customHeight="1">
      <c r="A32" s="441" t="n"/>
      <c r="B32" s="9" t="inlineStr">
        <is>
          <t>IP01</t>
        </is>
      </c>
      <c r="C32" s="22" t="inlineStr">
        <is>
          <t>FGA23</t>
        </is>
      </c>
      <c r="D32" s="147" t="inlineStr">
        <is>
          <t>NIKE ZOOM VOMERO 5 SE LOS SD</t>
        </is>
      </c>
      <c r="E32" s="7" t="inlineStr">
        <is>
          <t>IV6857-001</t>
        </is>
      </c>
      <c r="F32" s="22" t="inlineStr">
        <is>
          <t>PURE PLATINUM</t>
        </is>
      </c>
      <c r="G32" s="22" t="inlineStr">
        <is>
          <t>No spray</t>
        </is>
      </c>
      <c r="H32" s="22" t="inlineStr">
        <is>
          <t>No spray</t>
        </is>
      </c>
      <c r="I32" s="22" t="inlineStr">
        <is>
          <t>ME</t>
        </is>
      </c>
      <c r="J32" s="452" t="n"/>
      <c r="K32" s="452" t="n"/>
      <c r="L32" s="452" t="n"/>
      <c r="M32" s="452" t="n"/>
      <c r="N32" s="452" t="n"/>
      <c r="O32" s="452" t="n"/>
      <c r="P32" s="452" t="n"/>
      <c r="Q32" s="452" t="n"/>
      <c r="R32" s="452" t="n"/>
      <c r="S32" s="452" t="n">
        <v>1368</v>
      </c>
      <c r="T32" s="452" t="n">
        <v>2832</v>
      </c>
      <c r="U32" s="452" t="n"/>
      <c r="V32" s="11" t="n"/>
      <c r="W32" s="11" t="n"/>
      <c r="X32" s="5">
        <f>SUM(J32:W32)</f>
        <v/>
      </c>
      <c r="Y32" s="22" t="n"/>
      <c r="Z32" s="22" t="n"/>
      <c r="AA32" s="27" t="n"/>
    </row>
    <row r="33" ht="17.25" customHeight="1" thickBot="1">
      <c r="A33" s="441" t="n"/>
      <c r="B33" s="6" t="inlineStr">
        <is>
          <t>II91</t>
        </is>
      </c>
      <c r="C33" s="23" t="inlineStr">
        <is>
          <t>FGA23</t>
        </is>
      </c>
      <c r="D33" s="138" t="inlineStr">
        <is>
          <t>NIKE ZOOM VOMERO 5 SE LOS SD</t>
        </is>
      </c>
      <c r="E33" s="148" t="inlineStr">
        <is>
          <t>IV6857-001</t>
        </is>
      </c>
      <c r="F33" s="23" t="inlineStr">
        <is>
          <t>SUMMIT WHITE</t>
        </is>
      </c>
      <c r="G33" s="23" t="inlineStr">
        <is>
          <t>PURE PLATINUM</t>
        </is>
      </c>
      <c r="H33" s="23" t="inlineStr">
        <is>
          <t>No spray</t>
        </is>
      </c>
      <c r="I33" s="23" t="inlineStr">
        <is>
          <t>ME</t>
        </is>
      </c>
      <c r="J33" s="445" t="n"/>
      <c r="K33" s="445" t="n"/>
      <c r="L33" s="445" t="n"/>
      <c r="M33" s="445" t="n"/>
      <c r="N33" s="445" t="n"/>
      <c r="O33" s="445" t="n"/>
      <c r="P33" s="445" t="n"/>
      <c r="Q33" s="445" t="n"/>
      <c r="R33" s="445" t="n"/>
      <c r="S33" s="445" t="n">
        <v>1578</v>
      </c>
      <c r="T33" s="445" t="n">
        <v>2832</v>
      </c>
      <c r="U33" s="445" t="n"/>
      <c r="V33" s="13" t="n"/>
      <c r="W33" s="13" t="n"/>
      <c r="X33" s="2">
        <f>SUM(J33:W33)</f>
        <v/>
      </c>
      <c r="Y33" s="23" t="n"/>
      <c r="Z33" s="23" t="n"/>
      <c r="AA33" s="28" t="n"/>
    </row>
    <row r="34" ht="17.25" customHeight="1">
      <c r="A34" s="441" t="n"/>
      <c r="B34" s="15" t="inlineStr">
        <is>
          <t>IP01</t>
        </is>
      </c>
      <c r="C34" s="21" t="inlineStr">
        <is>
          <t>FGA24</t>
        </is>
      </c>
      <c r="D34" s="128" t="inlineStr">
        <is>
          <t>LD-1000 FLYKNIT</t>
        </is>
      </c>
      <c r="E34" s="14" t="inlineStr">
        <is>
          <t>IQ5241-002</t>
        </is>
      </c>
      <c r="F34" s="21" t="inlineStr">
        <is>
          <t>NATURAL</t>
        </is>
      </c>
      <c r="G34" s="21" t="inlineStr">
        <is>
          <t>No spray</t>
        </is>
      </c>
      <c r="H34" s="21" t="inlineStr">
        <is>
          <t>No spray</t>
        </is>
      </c>
      <c r="I34" s="21" t="inlineStr">
        <is>
          <t>TD</t>
        </is>
      </c>
      <c r="J34" s="451" t="n"/>
      <c r="K34" s="451" t="n"/>
      <c r="L34" s="451" t="n"/>
      <c r="M34" s="451" t="n"/>
      <c r="N34" s="451" t="n"/>
      <c r="O34" s="451" t="n"/>
      <c r="P34" s="451" t="n"/>
      <c r="Q34" s="451" t="n">
        <v>197</v>
      </c>
      <c r="R34" s="451" t="n">
        <v>453</v>
      </c>
      <c r="S34" s="451" t="n"/>
      <c r="T34" s="451" t="n"/>
      <c r="U34" s="451" t="n"/>
      <c r="V34" s="12" t="n"/>
      <c r="W34" s="12" t="n"/>
      <c r="X34" s="3">
        <f>SUM(J34:W34)</f>
        <v/>
      </c>
      <c r="Y34" s="21" t="n"/>
      <c r="Z34" s="21" t="n"/>
      <c r="AA34" s="26" t="n"/>
    </row>
    <row r="35" ht="17.25" customHeight="1">
      <c r="A35" s="441" t="n"/>
      <c r="B35" s="39" t="inlineStr">
        <is>
          <t>IP03</t>
        </is>
      </c>
      <c r="C35" s="35" t="inlineStr">
        <is>
          <t>FGA24</t>
        </is>
      </c>
      <c r="D35" s="57" t="inlineStr">
        <is>
          <t>LD-1000 FLYKNIT</t>
        </is>
      </c>
      <c r="E35" s="40" t="inlineStr">
        <is>
          <t>IQ5241-002</t>
        </is>
      </c>
      <c r="F35" s="35" t="inlineStr">
        <is>
          <t>NATURAL</t>
        </is>
      </c>
      <c r="G35" s="35" t="inlineStr">
        <is>
          <t>No spray</t>
        </is>
      </c>
      <c r="H35" s="35" t="inlineStr">
        <is>
          <t>No spray</t>
        </is>
      </c>
      <c r="I35" s="35" t="inlineStr">
        <is>
          <t>TD</t>
        </is>
      </c>
      <c r="J35" s="453" t="n"/>
      <c r="K35" s="453" t="n"/>
      <c r="L35" s="453" t="n"/>
      <c r="M35" s="453" t="n"/>
      <c r="N35" s="453" t="n"/>
      <c r="O35" s="453" t="n"/>
      <c r="P35" s="453" t="n"/>
      <c r="Q35" s="453" t="n">
        <v>197</v>
      </c>
      <c r="R35" s="453" t="n">
        <v>453</v>
      </c>
      <c r="S35" s="453" t="n"/>
      <c r="T35" s="453" t="n"/>
      <c r="U35" s="453" t="n"/>
      <c r="V35" s="36" t="n"/>
      <c r="W35" s="36" t="n"/>
      <c r="X35" s="37">
        <f>SUM(J35:W35)</f>
        <v/>
      </c>
      <c r="Y35" s="35" t="n"/>
      <c r="Z35" s="35" t="n"/>
      <c r="AA35" s="38" t="n"/>
    </row>
    <row r="36" ht="17.25" customHeight="1">
      <c r="A36" s="441" t="n"/>
      <c r="B36" s="9" t="inlineStr">
        <is>
          <t>IP01</t>
        </is>
      </c>
      <c r="C36" s="9" t="inlineStr">
        <is>
          <t>FGA24</t>
        </is>
      </c>
      <c r="D36" s="7" t="inlineStr">
        <is>
          <t>LD-1000 FLYKNIT</t>
        </is>
      </c>
      <c r="E36" s="7" t="inlineStr">
        <is>
          <t>IQ5241-300</t>
        </is>
      </c>
      <c r="F36" s="22" t="inlineStr">
        <is>
          <t>SAIL</t>
        </is>
      </c>
      <c r="G36" s="22" t="inlineStr">
        <is>
          <t>No spray</t>
        </is>
      </c>
      <c r="H36" s="22" t="inlineStr">
        <is>
          <t>No spray</t>
        </is>
      </c>
      <c r="I36" s="22" t="inlineStr">
        <is>
          <t>TD</t>
        </is>
      </c>
      <c r="J36" s="452" t="n"/>
      <c r="K36" s="452" t="n"/>
      <c r="L36" s="452" t="n"/>
      <c r="M36" s="452" t="n"/>
      <c r="N36" s="452" t="n"/>
      <c r="O36" s="452" t="n"/>
      <c r="P36" s="452" t="n"/>
      <c r="Q36" s="452" t="n"/>
      <c r="R36" s="452" t="n">
        <v>387</v>
      </c>
      <c r="S36" s="452" t="n">
        <v>840</v>
      </c>
      <c r="T36" s="452" t="n">
        <v>604</v>
      </c>
      <c r="U36" s="452" t="n"/>
      <c r="V36" s="11" t="n"/>
      <c r="W36" s="11" t="n"/>
      <c r="X36" s="5">
        <f>SUM(J36:W36)</f>
        <v/>
      </c>
      <c r="Y36" s="22" t="n"/>
      <c r="Z36" s="22" t="n"/>
      <c r="AA36" s="27" t="n"/>
    </row>
    <row r="37" ht="17.25" customHeight="1" thickBot="1">
      <c r="A37" s="449" t="n"/>
      <c r="B37" s="10" t="inlineStr">
        <is>
          <t>IP03</t>
        </is>
      </c>
      <c r="C37" s="10" t="inlineStr">
        <is>
          <t>FGA24</t>
        </is>
      </c>
      <c r="D37" s="8" t="inlineStr">
        <is>
          <t>LD-1000 FLYKNIT</t>
        </is>
      </c>
      <c r="E37" s="8" t="inlineStr">
        <is>
          <t>IQ5241-300</t>
        </is>
      </c>
      <c r="F37" s="23" t="inlineStr">
        <is>
          <t>SAIL</t>
        </is>
      </c>
      <c r="G37" s="23" t="inlineStr">
        <is>
          <t>No spray</t>
        </is>
      </c>
      <c r="H37" s="23" t="inlineStr">
        <is>
          <t>No spray</t>
        </is>
      </c>
      <c r="I37" s="23" t="inlineStr">
        <is>
          <t>TD</t>
        </is>
      </c>
      <c r="J37" s="445" t="n"/>
      <c r="K37" s="445" t="n"/>
      <c r="L37" s="445" t="n"/>
      <c r="M37" s="445" t="n"/>
      <c r="N37" s="445" t="n"/>
      <c r="O37" s="445" t="n"/>
      <c r="P37" s="445" t="n"/>
      <c r="Q37" s="445" t="n"/>
      <c r="R37" s="445" t="n">
        <v>387</v>
      </c>
      <c r="S37" s="445" t="n">
        <v>840</v>
      </c>
      <c r="T37" s="445" t="n">
        <v>604</v>
      </c>
      <c r="U37" s="445" t="n"/>
      <c r="V37" s="13" t="n"/>
      <c r="W37" s="13" t="n"/>
      <c r="X37" s="2">
        <f>SUM(J37:W37)</f>
        <v/>
      </c>
      <c r="Y37" s="23" t="n"/>
      <c r="Z37" s="23" t="n"/>
      <c r="AA37" s="28" t="n"/>
    </row>
    <row r="38" ht="17.25" customHeight="1">
      <c r="A38" s="380" t="inlineStr">
        <is>
          <t>E</t>
        </is>
      </c>
      <c r="B38" s="19" t="inlineStr">
        <is>
          <t>II91</t>
        </is>
      </c>
      <c r="C38" s="21" t="inlineStr">
        <is>
          <t>FGA32</t>
        </is>
      </c>
      <c r="D38" s="128" t="inlineStr">
        <is>
          <t>AVA X (M)</t>
        </is>
      </c>
      <c r="E38" s="129" t="inlineStr">
        <is>
          <t>IQ7633-001</t>
        </is>
      </c>
      <c r="F38" s="21" t="inlineStr">
        <is>
          <t>BLACK</t>
        </is>
      </c>
      <c r="G38" s="21" t="inlineStr">
        <is>
          <t>No spray</t>
        </is>
      </c>
      <c r="H38" s="21" t="inlineStr">
        <is>
          <t>DARK GREY</t>
        </is>
      </c>
      <c r="I38" s="21" t="inlineStr">
        <is>
          <t>ME</t>
        </is>
      </c>
      <c r="J38" s="451" t="n"/>
      <c r="K38" s="451" t="n"/>
      <c r="L38" s="451" t="n"/>
      <c r="M38" s="451" t="n"/>
      <c r="N38" s="451" t="n"/>
      <c r="O38" s="451" t="n"/>
      <c r="P38" s="451" t="n">
        <v>859</v>
      </c>
      <c r="Q38" s="451" t="n">
        <v>1741</v>
      </c>
      <c r="R38" s="451" t="n">
        <v>2184</v>
      </c>
      <c r="S38" s="451" t="n">
        <v>1180</v>
      </c>
      <c r="T38" s="451" t="n">
        <v>1680</v>
      </c>
      <c r="U38" s="451" t="n"/>
      <c r="V38" s="12" t="n"/>
      <c r="W38" s="12" t="n"/>
      <c r="X38" s="3">
        <f>SUM(J38:W38)</f>
        <v/>
      </c>
      <c r="Y38" s="21" t="inlineStr">
        <is>
          <t>PHYLON</t>
        </is>
      </c>
      <c r="Z38" s="21" t="n"/>
      <c r="AA38" s="26" t="n"/>
    </row>
    <row r="39" ht="17.25" customHeight="1">
      <c r="A39" s="441" t="n"/>
      <c r="B39" s="4" t="inlineStr">
        <is>
          <t>II91</t>
        </is>
      </c>
      <c r="C39" s="9" t="inlineStr">
        <is>
          <t>FGA32</t>
        </is>
      </c>
      <c r="D39" s="7" t="inlineStr">
        <is>
          <t>AVA X (M)</t>
        </is>
      </c>
      <c r="E39" s="16" t="inlineStr">
        <is>
          <t>IQ7633-100</t>
        </is>
      </c>
      <c r="F39" s="9" t="inlineStr">
        <is>
          <t>SUMMIT WHITE</t>
        </is>
      </c>
      <c r="G39" s="22" t="inlineStr">
        <is>
          <t>No spray</t>
        </is>
      </c>
      <c r="H39" s="22" t="inlineStr">
        <is>
          <t>PHOTON DUST</t>
        </is>
      </c>
      <c r="I39" s="22" t="inlineStr">
        <is>
          <t>ME</t>
        </is>
      </c>
      <c r="J39" s="452" t="n"/>
      <c r="K39" s="452" t="n"/>
      <c r="L39" s="452" t="n">
        <v>0</v>
      </c>
      <c r="M39" s="452" t="n">
        <v>275</v>
      </c>
      <c r="N39" s="452" t="n">
        <v>41</v>
      </c>
      <c r="O39" s="452" t="n"/>
      <c r="P39" s="452" t="n"/>
      <c r="Q39" s="452" t="n"/>
      <c r="R39" s="452" t="n"/>
      <c r="S39" s="452" t="n"/>
      <c r="T39" s="452" t="n"/>
      <c r="U39" s="452" t="n"/>
      <c r="V39" s="11" t="n"/>
      <c r="W39" s="11" t="n"/>
      <c r="X39" s="5">
        <f>SUM(J39:W39)</f>
        <v/>
      </c>
      <c r="Y39" s="22" t="inlineStr">
        <is>
          <t>PHYLON</t>
        </is>
      </c>
      <c r="Z39" s="22" t="n"/>
      <c r="AA39" s="27" t="n"/>
    </row>
    <row r="40" ht="17.25" customHeight="1">
      <c r="A40" s="441" t="n"/>
      <c r="B40" s="44" t="inlineStr">
        <is>
          <t>II91</t>
        </is>
      </c>
      <c r="C40" s="39" t="inlineStr">
        <is>
          <t>FGA32</t>
        </is>
      </c>
      <c r="D40" s="40" t="inlineStr">
        <is>
          <t>AVA X (M)</t>
        </is>
      </c>
      <c r="E40" s="45" t="inlineStr">
        <is>
          <t>IQ7633-400</t>
        </is>
      </c>
      <c r="F40" s="39" t="inlineStr">
        <is>
          <t>FLINT GREY</t>
        </is>
      </c>
      <c r="G40" s="35" t="inlineStr">
        <is>
          <t>GEYSER GREY</t>
        </is>
      </c>
      <c r="H40" s="35" t="inlineStr">
        <is>
          <t>BLACK</t>
        </is>
      </c>
      <c r="I40" s="35" t="inlineStr">
        <is>
          <t>ME</t>
        </is>
      </c>
      <c r="J40" s="453" t="n"/>
      <c r="K40" s="453" t="n"/>
      <c r="L40" s="453" t="n"/>
      <c r="M40" s="453" t="n"/>
      <c r="N40" s="453" t="n">
        <v>1224</v>
      </c>
      <c r="O40" s="453" t="n">
        <v>2146</v>
      </c>
      <c r="P40" s="453" t="n">
        <v>408</v>
      </c>
      <c r="Q40" s="453" t="n"/>
      <c r="R40" s="453" t="n"/>
      <c r="S40" s="453" t="n"/>
      <c r="T40" s="453" t="n"/>
      <c r="U40" s="453" t="n"/>
      <c r="V40" s="36" t="n"/>
      <c r="W40" s="36" t="n"/>
      <c r="X40" s="37">
        <f>SUM(J40:W40)</f>
        <v/>
      </c>
      <c r="Y40" s="35" t="inlineStr">
        <is>
          <t>PHYLON</t>
        </is>
      </c>
      <c r="Z40" s="35" t="n"/>
      <c r="AA40" s="38" t="n"/>
    </row>
    <row r="41" ht="17.25" customHeight="1" thickBot="1">
      <c r="A41" s="441" t="n"/>
      <c r="B41" s="6" t="inlineStr">
        <is>
          <t>II91</t>
        </is>
      </c>
      <c r="C41" s="10" t="inlineStr">
        <is>
          <t>FGA32</t>
        </is>
      </c>
      <c r="D41" s="8" t="inlineStr">
        <is>
          <t>AVA X (M)</t>
        </is>
      </c>
      <c r="E41" s="17" t="inlineStr">
        <is>
          <t>IQ7633-700</t>
        </is>
      </c>
      <c r="F41" s="10" t="inlineStr">
        <is>
          <t>ALABASTER</t>
        </is>
      </c>
      <c r="G41" s="23" t="inlineStr">
        <is>
          <t>No spray</t>
        </is>
      </c>
      <c r="H41" s="23" t="inlineStr">
        <is>
          <t>BLACK</t>
        </is>
      </c>
      <c r="I41" s="23" t="inlineStr">
        <is>
          <t>ME</t>
        </is>
      </c>
      <c r="J41" s="445" t="n"/>
      <c r="K41" s="445" t="n"/>
      <c r="L41" s="445" t="n"/>
      <c r="M41" s="445" t="n"/>
      <c r="N41" s="445" t="n"/>
      <c r="O41" s="445" t="n"/>
      <c r="P41" s="445" t="n"/>
      <c r="Q41" s="445" t="n"/>
      <c r="R41" s="445" t="n">
        <v>144</v>
      </c>
      <c r="S41" s="445" t="n">
        <v>1184</v>
      </c>
      <c r="T41" s="445" t="n"/>
      <c r="U41" s="445" t="n"/>
      <c r="V41" s="13" t="n"/>
      <c r="W41" s="13" t="n"/>
      <c r="X41" s="2">
        <f>SUM(J41:W41)</f>
        <v/>
      </c>
      <c r="Y41" s="23" t="n"/>
      <c r="Z41" s="23" t="n"/>
      <c r="AA41" s="139" t="n"/>
    </row>
    <row r="42" ht="17.25" customHeight="1">
      <c r="A42" s="441" t="n"/>
      <c r="B42" s="19" t="inlineStr">
        <is>
          <t>II91</t>
        </is>
      </c>
      <c r="C42" s="15" t="inlineStr">
        <is>
          <t>FGA33</t>
        </is>
      </c>
      <c r="D42" s="14" t="inlineStr">
        <is>
          <t>AVA X (M)</t>
        </is>
      </c>
      <c r="E42" s="20" t="inlineStr">
        <is>
          <t>HM9697-001</t>
        </is>
      </c>
      <c r="F42" s="15" t="inlineStr">
        <is>
          <t>SMOKE GREY</t>
        </is>
      </c>
      <c r="G42" s="21" t="inlineStr">
        <is>
          <t>SMOKE GREY</t>
        </is>
      </c>
      <c r="H42" s="21" t="inlineStr">
        <is>
          <t>WHITE</t>
        </is>
      </c>
      <c r="I42" s="21" t="inlineStr">
        <is>
          <t>ME</t>
        </is>
      </c>
      <c r="J42" s="451" t="n"/>
      <c r="K42" s="451" t="n"/>
      <c r="L42" s="451" t="n"/>
      <c r="M42" s="451" t="n"/>
      <c r="N42" s="451" t="n"/>
      <c r="O42" s="451" t="n">
        <v>76</v>
      </c>
      <c r="P42" s="451" t="n">
        <v>805</v>
      </c>
      <c r="Q42" s="451" t="n"/>
      <c r="R42" s="451" t="n"/>
      <c r="S42" s="451" t="n"/>
      <c r="T42" s="451" t="n"/>
      <c r="U42" s="451" t="n"/>
      <c r="V42" s="12" t="n"/>
      <c r="W42" s="12" t="n"/>
      <c r="X42" s="3">
        <f>SUM(J42:W42)</f>
        <v/>
      </c>
      <c r="Y42" s="21" t="inlineStr">
        <is>
          <t>PHYLON</t>
        </is>
      </c>
      <c r="Z42" s="21" t="n"/>
      <c r="AA42" s="26" t="n"/>
    </row>
    <row r="43" ht="17.25" customHeight="1">
      <c r="A43" s="441" t="n"/>
      <c r="B43" s="4" t="inlineStr">
        <is>
          <t>II91</t>
        </is>
      </c>
      <c r="C43" s="9" t="inlineStr">
        <is>
          <t>FGA33</t>
        </is>
      </c>
      <c r="D43" s="7" t="inlineStr">
        <is>
          <t>AVA X (M)</t>
        </is>
      </c>
      <c r="E43" s="16" t="inlineStr">
        <is>
          <t>HM9697-012</t>
        </is>
      </c>
      <c r="F43" s="46" t="inlineStr">
        <is>
          <t>BLACK</t>
        </is>
      </c>
      <c r="G43" s="47" t="inlineStr">
        <is>
          <t>No spray</t>
        </is>
      </c>
      <c r="H43" s="47" t="inlineStr">
        <is>
          <t>DK SMOKE GREY</t>
        </is>
      </c>
      <c r="I43" s="47" t="inlineStr">
        <is>
          <t>ME</t>
        </is>
      </c>
      <c r="J43" s="454" t="n"/>
      <c r="K43" s="454" t="n"/>
      <c r="L43" s="454" t="n"/>
      <c r="M43" s="454" t="n"/>
      <c r="N43" s="454" t="n"/>
      <c r="O43" s="454" t="n"/>
      <c r="P43" s="454" t="n"/>
      <c r="Q43" s="454" t="n"/>
      <c r="R43" s="454" t="n">
        <v>391</v>
      </c>
      <c r="S43" s="454" t="n">
        <v>1876</v>
      </c>
      <c r="T43" s="454" t="n">
        <v>1680</v>
      </c>
      <c r="U43" s="454" t="n"/>
      <c r="V43" s="48" t="n"/>
      <c r="W43" s="48" t="n"/>
      <c r="X43" s="49">
        <f>SUM(J43:W43)</f>
        <v/>
      </c>
      <c r="Y43" s="47" t="n"/>
      <c r="Z43" s="47" t="n"/>
      <c r="AA43" s="140" t="n"/>
    </row>
    <row r="44" ht="17.25" customHeight="1">
      <c r="A44" s="441" t="n"/>
      <c r="B44" s="4" t="inlineStr">
        <is>
          <t>II91</t>
        </is>
      </c>
      <c r="C44" s="9" t="inlineStr">
        <is>
          <t>FGA33</t>
        </is>
      </c>
      <c r="D44" s="7" t="inlineStr">
        <is>
          <t>AVA X (M)</t>
        </is>
      </c>
      <c r="E44" s="16" t="inlineStr">
        <is>
          <t>HM9697-013</t>
        </is>
      </c>
      <c r="F44" s="9" t="inlineStr">
        <is>
          <t>LT KHAKI</t>
        </is>
      </c>
      <c r="G44" s="22" t="inlineStr">
        <is>
          <t>No spray</t>
        </is>
      </c>
      <c r="H44" s="22" t="inlineStr">
        <is>
          <t>SIREN RED</t>
        </is>
      </c>
      <c r="I44" s="22" t="inlineStr">
        <is>
          <t>ME</t>
        </is>
      </c>
      <c r="J44" s="452" t="n"/>
      <c r="K44" s="452" t="n"/>
      <c r="L44" s="452" t="n"/>
      <c r="M44" s="452" t="n"/>
      <c r="N44" s="452" t="n"/>
      <c r="O44" s="452" t="n"/>
      <c r="P44" s="455" t="n">
        <v>3</v>
      </c>
      <c r="Q44" s="452" t="n">
        <v>2364</v>
      </c>
      <c r="R44" s="452" t="n">
        <v>1965</v>
      </c>
      <c r="S44" s="452" t="n">
        <v>488</v>
      </c>
      <c r="T44" s="452" t="n"/>
      <c r="U44" s="452" t="n"/>
      <c r="V44" s="11" t="n"/>
      <c r="W44" s="11" t="n"/>
      <c r="X44" s="5">
        <f>SUM(J44:W44)</f>
        <v/>
      </c>
      <c r="Y44" s="130" t="inlineStr">
        <is>
          <t>ZPS</t>
        </is>
      </c>
      <c r="Z44" s="22" t="n"/>
      <c r="AA44" s="27" t="n"/>
    </row>
    <row r="45" ht="17.25" customHeight="1" thickBot="1">
      <c r="A45" s="441" t="n"/>
      <c r="B45" s="44" t="inlineStr">
        <is>
          <t>II91</t>
        </is>
      </c>
      <c r="C45" s="39" t="inlineStr">
        <is>
          <t>FGA33</t>
        </is>
      </c>
      <c r="D45" s="40" t="inlineStr">
        <is>
          <t>AVA X (M)</t>
        </is>
      </c>
      <c r="E45" s="45" t="inlineStr">
        <is>
          <t>HM9697-100</t>
        </is>
      </c>
      <c r="F45" s="39" t="inlineStr">
        <is>
          <t>BLACK</t>
        </is>
      </c>
      <c r="G45" s="35" t="inlineStr">
        <is>
          <t>SUMMIT WHITE</t>
        </is>
      </c>
      <c r="H45" s="35" t="inlineStr">
        <is>
          <t>SUMMIT WHITE</t>
        </is>
      </c>
      <c r="I45" s="35" t="inlineStr">
        <is>
          <t>ME</t>
        </is>
      </c>
      <c r="J45" s="453" t="n">
        <v>0</v>
      </c>
      <c r="K45" s="453" t="n">
        <v>0</v>
      </c>
      <c r="L45" s="453" t="n">
        <v>0</v>
      </c>
      <c r="M45" s="453" t="n">
        <v>202</v>
      </c>
      <c r="N45" s="453" t="n">
        <v>326</v>
      </c>
      <c r="O45" s="453" t="n">
        <v>599</v>
      </c>
      <c r="P45" s="453" t="n"/>
      <c r="Q45" s="453" t="n"/>
      <c r="R45" s="453" t="n"/>
      <c r="S45" s="453" t="n"/>
      <c r="T45" s="453" t="n"/>
      <c r="U45" s="453" t="n"/>
      <c r="V45" s="36" t="n"/>
      <c r="W45" s="36" t="n"/>
      <c r="X45" s="37">
        <f>SUM(J45:W45)</f>
        <v/>
      </c>
      <c r="Y45" s="35" t="inlineStr">
        <is>
          <t>PHYLON</t>
        </is>
      </c>
      <c r="Z45" s="35" t="n"/>
      <c r="AA45" s="38" t="n"/>
    </row>
    <row r="46" ht="17.25" customHeight="1">
      <c r="A46" s="441" t="n"/>
      <c r="B46" s="64" t="inlineStr">
        <is>
          <t>II91</t>
        </is>
      </c>
      <c r="C46" s="51" t="inlineStr">
        <is>
          <t>FGA34</t>
        </is>
      </c>
      <c r="D46" s="52" t="inlineStr">
        <is>
          <t>AVA X (M)</t>
        </is>
      </c>
      <c r="E46" s="99" t="inlineStr">
        <is>
          <t>IQ7633-001</t>
        </is>
      </c>
      <c r="F46" s="51" t="inlineStr">
        <is>
          <t>BLACK</t>
        </is>
      </c>
      <c r="G46" s="50" t="inlineStr">
        <is>
          <t>No spray</t>
        </is>
      </c>
      <c r="H46" s="50" t="inlineStr">
        <is>
          <t>DARK GREY</t>
        </is>
      </c>
      <c r="I46" s="50" t="inlineStr">
        <is>
          <t>ME</t>
        </is>
      </c>
      <c r="J46" s="443" t="n"/>
      <c r="K46" s="443" t="n"/>
      <c r="L46" s="443" t="n"/>
      <c r="M46" s="443" t="n"/>
      <c r="N46" s="443" t="n"/>
      <c r="O46" s="443" t="n"/>
      <c r="P46" s="443" t="n"/>
      <c r="Q46" s="443" t="n">
        <v>903</v>
      </c>
      <c r="R46" s="443" t="n">
        <v>2324</v>
      </c>
      <c r="S46" s="443" t="n">
        <v>2364</v>
      </c>
      <c r="T46" s="443" t="n">
        <v>610</v>
      </c>
      <c r="U46" s="443" t="n"/>
      <c r="V46" s="54" t="n"/>
      <c r="W46" s="54" t="n"/>
      <c r="X46" s="55">
        <f>SUM(J46:W46)</f>
        <v/>
      </c>
      <c r="Y46" s="50" t="n"/>
      <c r="Z46" s="50" t="n"/>
      <c r="AA46" s="56" t="n"/>
    </row>
    <row r="47" ht="17.25" customHeight="1">
      <c r="A47" s="441" t="n"/>
      <c r="B47" s="67" t="inlineStr">
        <is>
          <t>II91</t>
        </is>
      </c>
      <c r="C47" s="100" t="inlineStr">
        <is>
          <t>FGA34</t>
        </is>
      </c>
      <c r="D47" s="98" t="inlineStr">
        <is>
          <t>AVA X (M)</t>
        </is>
      </c>
      <c r="E47" s="101" t="inlineStr">
        <is>
          <t>IQ7633-002</t>
        </is>
      </c>
      <c r="F47" s="100" t="inlineStr">
        <is>
          <t>ANTHRACITE</t>
        </is>
      </c>
      <c r="G47" s="68" t="inlineStr">
        <is>
          <t>No spray</t>
        </is>
      </c>
      <c r="H47" s="68" t="inlineStr">
        <is>
          <t>BLACK</t>
        </is>
      </c>
      <c r="I47" s="68" t="inlineStr">
        <is>
          <t>ME</t>
        </is>
      </c>
      <c r="J47" s="440" t="n"/>
      <c r="K47" s="440" t="n"/>
      <c r="L47" s="440" t="n"/>
      <c r="M47" s="440" t="n"/>
      <c r="N47" s="440" t="n"/>
      <c r="O47" s="440" t="n">
        <v>0</v>
      </c>
      <c r="P47" s="440" t="n">
        <v>804</v>
      </c>
      <c r="Q47" s="440" t="n">
        <v>769</v>
      </c>
      <c r="R47" s="440" t="n"/>
      <c r="S47" s="440" t="n"/>
      <c r="T47" s="440" t="n"/>
      <c r="U47" s="440" t="n"/>
      <c r="V47" s="71" t="n"/>
      <c r="W47" s="71" t="n"/>
      <c r="X47" s="72">
        <f>SUM(J47:W47)</f>
        <v/>
      </c>
      <c r="Y47" s="68" t="inlineStr">
        <is>
          <t>PHYLON</t>
        </is>
      </c>
      <c r="Z47" s="68" t="n"/>
      <c r="AA47" s="73" t="n"/>
    </row>
    <row r="48" ht="17.25" customHeight="1">
      <c r="A48" s="441" t="n"/>
      <c r="B48" s="67" t="inlineStr">
        <is>
          <t>II91</t>
        </is>
      </c>
      <c r="C48" s="100" t="inlineStr">
        <is>
          <t>FGA34</t>
        </is>
      </c>
      <c r="D48" s="98" t="inlineStr">
        <is>
          <t>AVA X (M)</t>
        </is>
      </c>
      <c r="E48" s="101" t="inlineStr">
        <is>
          <t>IQ7633-003</t>
        </is>
      </c>
      <c r="F48" s="100" t="inlineStr">
        <is>
          <t>COLLEGE GREY</t>
        </is>
      </c>
      <c r="G48" s="68" t="inlineStr">
        <is>
          <t>No spray</t>
        </is>
      </c>
      <c r="H48" s="68" t="inlineStr">
        <is>
          <t>WHITE</t>
        </is>
      </c>
      <c r="I48" s="68" t="inlineStr">
        <is>
          <t>ME</t>
        </is>
      </c>
      <c r="J48" s="440" t="n"/>
      <c r="K48" s="440" t="n">
        <v>0</v>
      </c>
      <c r="L48" s="440" t="n">
        <v>0</v>
      </c>
      <c r="M48" s="440" t="n">
        <v>144</v>
      </c>
      <c r="N48" s="440" t="n">
        <v>248</v>
      </c>
      <c r="O48" s="440" t="n"/>
      <c r="P48" s="440" t="n"/>
      <c r="Q48" s="440" t="n"/>
      <c r="R48" s="440" t="n"/>
      <c r="S48" s="440" t="n"/>
      <c r="T48" s="440" t="n"/>
      <c r="U48" s="440" t="n"/>
      <c r="V48" s="71" t="n"/>
      <c r="W48" s="71" t="n"/>
      <c r="X48" s="72">
        <f>SUM(J48:W48)</f>
        <v/>
      </c>
      <c r="Y48" s="68" t="inlineStr">
        <is>
          <t>PHYLON</t>
        </is>
      </c>
      <c r="Z48" s="68" t="n"/>
      <c r="AA48" s="68" t="n"/>
    </row>
    <row r="49" ht="17.25" customHeight="1" thickBot="1">
      <c r="A49" s="449" t="n"/>
      <c r="B49" s="74" t="inlineStr">
        <is>
          <t>II91</t>
        </is>
      </c>
      <c r="C49" s="82" t="inlineStr">
        <is>
          <t>FGA34</t>
        </is>
      </c>
      <c r="D49" s="81" t="inlineStr">
        <is>
          <t>AVA X (M)</t>
        </is>
      </c>
      <c r="E49" s="83" t="inlineStr">
        <is>
          <t>IQ7633-100</t>
        </is>
      </c>
      <c r="F49" s="82" t="inlineStr">
        <is>
          <t>SUMMIT WHITE</t>
        </is>
      </c>
      <c r="G49" s="75" t="inlineStr">
        <is>
          <t>No spray</t>
        </is>
      </c>
      <c r="H49" s="75" t="inlineStr">
        <is>
          <t>PHOTON DUST</t>
        </is>
      </c>
      <c r="I49" s="75" t="inlineStr">
        <is>
          <t>ME</t>
        </is>
      </c>
      <c r="J49" s="442" t="n"/>
      <c r="K49" s="442" t="n"/>
      <c r="L49" s="442" t="n">
        <v>0</v>
      </c>
      <c r="M49" s="442" t="n">
        <v>27</v>
      </c>
      <c r="N49" s="442" t="n">
        <v>640</v>
      </c>
      <c r="O49" s="442" t="n">
        <v>230</v>
      </c>
      <c r="P49" s="442" t="n"/>
      <c r="Q49" s="442" t="n"/>
      <c r="R49" s="442" t="n"/>
      <c r="S49" s="442" t="n"/>
      <c r="T49" s="442" t="n">
        <v>1070</v>
      </c>
      <c r="U49" s="442" t="n"/>
      <c r="V49" s="78" t="n"/>
      <c r="W49" s="78" t="n"/>
      <c r="X49" s="79">
        <f>SUM(J49:W49)</f>
        <v/>
      </c>
      <c r="Y49" s="75" t="inlineStr">
        <is>
          <t>PHYLON</t>
        </is>
      </c>
      <c r="Z49" s="75" t="n"/>
      <c r="AA49" s="80" t="n"/>
    </row>
    <row r="50" ht="17.25" customHeight="1" thickBot="1">
      <c r="A50" s="456" t="inlineStr">
        <is>
          <t>F</t>
        </is>
      </c>
      <c r="B50" s="47" t="inlineStr">
        <is>
          <t>IP01</t>
        </is>
      </c>
      <c r="C50" s="51" t="inlineStr">
        <is>
          <t>FGA35</t>
        </is>
      </c>
      <c r="D50" s="52" t="inlineStr">
        <is>
          <t>DOWNSHIFTER 13 (W)</t>
        </is>
      </c>
      <c r="E50" s="53" t="inlineStr">
        <is>
          <t>FD6476-001</t>
        </is>
      </c>
      <c r="F50" s="51" t="inlineStr">
        <is>
          <t>WHITE,WHITE</t>
        </is>
      </c>
      <c r="G50" s="50" t="inlineStr">
        <is>
          <t>No spray</t>
        </is>
      </c>
      <c r="H50" s="50" t="inlineStr">
        <is>
          <t>DK SMOKE GREY</t>
        </is>
      </c>
      <c r="I50" s="50" t="inlineStr">
        <is>
          <t>WO</t>
        </is>
      </c>
      <c r="J50" s="443" t="n"/>
      <c r="K50" s="443" t="n"/>
      <c r="L50" s="443" t="n"/>
      <c r="M50" s="443" t="n"/>
      <c r="N50" s="443" t="n"/>
      <c r="O50" s="443" t="n">
        <v>60</v>
      </c>
      <c r="P50" s="443" t="n">
        <v>206</v>
      </c>
      <c r="Q50" s="443" t="n">
        <v>997</v>
      </c>
      <c r="R50" s="443" t="n">
        <v>2330</v>
      </c>
      <c r="S50" s="443" t="n">
        <v>2364</v>
      </c>
      <c r="T50" s="443" t="n">
        <v>1680</v>
      </c>
      <c r="U50" s="443" t="n"/>
      <c r="V50" s="54" t="n"/>
      <c r="W50" s="54" t="n"/>
      <c r="X50" s="55">
        <f>SUM(J50:W50)</f>
        <v/>
      </c>
      <c r="Y50" s="50" t="n"/>
      <c r="Z50" s="50" t="n"/>
      <c r="AA50" s="56" t="n"/>
    </row>
    <row r="51" ht="17.25" customHeight="1">
      <c r="A51" s="441" t="n"/>
      <c r="B51" s="84" t="inlineStr">
        <is>
          <t>IP01</t>
        </is>
      </c>
      <c r="C51" s="84" t="inlineStr">
        <is>
          <t>FGA36</t>
        </is>
      </c>
      <c r="D51" s="85" t="inlineStr">
        <is>
          <t>DOWNSHIFTER 14 (W)</t>
        </is>
      </c>
      <c r="E51" s="89" t="inlineStr">
        <is>
          <t>IB1895-001</t>
        </is>
      </c>
      <c r="F51" s="84" t="inlineStr">
        <is>
          <t>BLACK</t>
        </is>
      </c>
      <c r="G51" s="86" t="inlineStr">
        <is>
          <t>No spray</t>
        </is>
      </c>
      <c r="H51" s="86" t="inlineStr">
        <is>
          <t>No spray</t>
        </is>
      </c>
      <c r="I51" s="86" t="inlineStr">
        <is>
          <t>WO</t>
        </is>
      </c>
      <c r="J51" s="451" t="n">
        <v>0</v>
      </c>
      <c r="K51" s="451" t="n">
        <v>180</v>
      </c>
      <c r="L51" s="451" t="n">
        <v>105</v>
      </c>
      <c r="M51" s="451" t="n">
        <v>449</v>
      </c>
      <c r="N51" s="451" t="n">
        <v>464</v>
      </c>
      <c r="O51" s="451" t="n">
        <v>466</v>
      </c>
      <c r="P51" s="451" t="n">
        <v>662</v>
      </c>
      <c r="Q51" s="451" t="n">
        <v>872</v>
      </c>
      <c r="R51" s="451" t="n">
        <v>985</v>
      </c>
      <c r="S51" s="451" t="n">
        <v>1200</v>
      </c>
      <c r="T51" s="451" t="n">
        <v>852</v>
      </c>
      <c r="U51" s="451" t="n"/>
      <c r="V51" s="87" t="n"/>
      <c r="W51" s="87" t="n"/>
      <c r="X51" s="86">
        <f>SUM(J51:W51)</f>
        <v/>
      </c>
      <c r="Y51" s="86" t="n"/>
      <c r="Z51" s="86" t="n"/>
      <c r="AA51" s="88" t="n"/>
    </row>
    <row r="52" ht="17.25" customHeight="1" thickBot="1">
      <c r="A52" s="441" t="n"/>
      <c r="B52" s="102" t="inlineStr">
        <is>
          <t>IP01</t>
        </is>
      </c>
      <c r="C52" s="102" t="inlineStr">
        <is>
          <t>FGA36</t>
        </is>
      </c>
      <c r="D52" s="103" t="inlineStr">
        <is>
          <t>DOWNSHIFTER 14 (M)</t>
        </is>
      </c>
      <c r="E52" s="104" t="inlineStr">
        <is>
          <t>IB1895-006</t>
        </is>
      </c>
      <c r="F52" s="102" t="inlineStr">
        <is>
          <t>BLACK</t>
        </is>
      </c>
      <c r="G52" s="105" t="inlineStr">
        <is>
          <t>No spray</t>
        </is>
      </c>
      <c r="H52" s="105" t="inlineStr">
        <is>
          <t>No spray</t>
        </is>
      </c>
      <c r="I52" s="105" t="inlineStr">
        <is>
          <t>ME</t>
        </is>
      </c>
      <c r="J52" s="454" t="n">
        <v>0</v>
      </c>
      <c r="K52" s="454" t="n">
        <v>33</v>
      </c>
      <c r="L52" s="454" t="n">
        <v>0</v>
      </c>
      <c r="M52" s="454" t="n"/>
      <c r="N52" s="454" t="n"/>
      <c r="O52" s="454" t="n"/>
      <c r="P52" s="454" t="n"/>
      <c r="Q52" s="454" t="n"/>
      <c r="R52" s="454" t="n"/>
      <c r="S52" s="454" t="n"/>
      <c r="T52" s="454" t="n"/>
      <c r="U52" s="454" t="n"/>
      <c r="V52" s="106" t="n"/>
      <c r="W52" s="106" t="n"/>
      <c r="X52" s="105">
        <f>SUM(J52:W52)</f>
        <v/>
      </c>
      <c r="Y52" s="105" t="n"/>
      <c r="Z52" s="105" t="n"/>
      <c r="AA52" s="107" t="n"/>
    </row>
    <row r="53" ht="17.25" customHeight="1">
      <c r="A53" s="441" t="n"/>
      <c r="B53" s="21" t="inlineStr">
        <is>
          <t>IP01</t>
        </is>
      </c>
      <c r="C53" s="15" t="inlineStr">
        <is>
          <t>FGA37</t>
        </is>
      </c>
      <c r="D53" s="14" t="inlineStr">
        <is>
          <t>DOWNSHIFTER 14 (M)</t>
        </is>
      </c>
      <c r="E53" s="123" t="inlineStr">
        <is>
          <t>IB1895-001</t>
        </is>
      </c>
      <c r="F53" s="15" t="inlineStr">
        <is>
          <t>BLACK</t>
        </is>
      </c>
      <c r="G53" s="21" t="inlineStr">
        <is>
          <t>No spray</t>
        </is>
      </c>
      <c r="H53" s="21" t="inlineStr">
        <is>
          <t>No spray</t>
        </is>
      </c>
      <c r="I53" s="21" t="inlineStr">
        <is>
          <t>ME</t>
        </is>
      </c>
      <c r="J53" s="451" t="n">
        <v>0</v>
      </c>
      <c r="K53" s="451" t="n">
        <v>0</v>
      </c>
      <c r="L53" s="451" t="n">
        <v>438</v>
      </c>
      <c r="M53" s="451" t="n">
        <v>807</v>
      </c>
      <c r="N53" s="451" t="n">
        <v>432</v>
      </c>
      <c r="O53" s="451" t="n"/>
      <c r="P53" s="451" t="n"/>
      <c r="Q53" s="451" t="n"/>
      <c r="R53" s="451" t="n"/>
      <c r="S53" s="451" t="n"/>
      <c r="T53" s="451" t="n"/>
      <c r="U53" s="451" t="n"/>
      <c r="V53" s="12" t="n"/>
      <c r="W53" s="12" t="n"/>
      <c r="X53" s="3">
        <f>SUM(J53:W53)</f>
        <v/>
      </c>
      <c r="Y53" s="21" t="n"/>
      <c r="Z53" s="50" t="n"/>
      <c r="AA53" s="56" t="n"/>
    </row>
    <row r="54" ht="17.25" customHeight="1">
      <c r="A54" s="441" t="n"/>
      <c r="B54" s="22" t="inlineStr">
        <is>
          <t>IP01</t>
        </is>
      </c>
      <c r="C54" s="9" t="inlineStr">
        <is>
          <t>FGA37</t>
        </is>
      </c>
      <c r="D54" s="7" t="inlineStr">
        <is>
          <t>DOWNSHIFTER 14 (M)</t>
        </is>
      </c>
      <c r="E54" s="34" t="inlineStr">
        <is>
          <t>IB1895-006</t>
        </is>
      </c>
      <c r="F54" s="9" t="inlineStr">
        <is>
          <t>BLACK</t>
        </is>
      </c>
      <c r="G54" s="22" t="inlineStr">
        <is>
          <t>No spray</t>
        </is>
      </c>
      <c r="H54" s="22" t="inlineStr">
        <is>
          <t>No spray</t>
        </is>
      </c>
      <c r="I54" s="22" t="inlineStr">
        <is>
          <t>ME</t>
        </is>
      </c>
      <c r="J54" s="452" t="n"/>
      <c r="K54" s="452" t="n"/>
      <c r="L54" s="452" t="n"/>
      <c r="M54" s="452" t="n"/>
      <c r="N54" s="452" t="n"/>
      <c r="O54" s="452" t="n"/>
      <c r="P54" s="452" t="n"/>
      <c r="Q54" s="452" t="n"/>
      <c r="R54" s="452" t="n"/>
      <c r="S54" s="452" t="n"/>
      <c r="T54" s="452" t="n">
        <v>126</v>
      </c>
      <c r="U54" s="452" t="n"/>
      <c r="V54" s="11" t="n"/>
      <c r="W54" s="11" t="n"/>
      <c r="X54" s="5">
        <f>SUM(J54:W54)</f>
        <v/>
      </c>
      <c r="Y54" s="22" t="n"/>
      <c r="Z54" s="379" t="n"/>
      <c r="AA54" s="43" t="n"/>
    </row>
    <row r="55" ht="17.25" customHeight="1">
      <c r="A55" s="441" t="n"/>
      <c r="B55" s="22" t="inlineStr">
        <is>
          <t>IP01</t>
        </is>
      </c>
      <c r="C55" s="9" t="inlineStr">
        <is>
          <t>FGA37</t>
        </is>
      </c>
      <c r="D55" s="7" t="inlineStr">
        <is>
          <t>DOWNSHIFTER 14 (M)</t>
        </is>
      </c>
      <c r="E55" s="34" t="inlineStr">
        <is>
          <t>IB1895-102</t>
        </is>
      </c>
      <c r="F55" s="9" t="inlineStr">
        <is>
          <t>WHITE</t>
        </is>
      </c>
      <c r="G55" s="22" t="inlineStr">
        <is>
          <t>No spray</t>
        </is>
      </c>
      <c r="H55" s="22" t="inlineStr">
        <is>
          <t>No spray</t>
        </is>
      </c>
      <c r="I55" s="22" t="inlineStr">
        <is>
          <t>ME</t>
        </is>
      </c>
      <c r="J55" s="452" t="n">
        <v>0</v>
      </c>
      <c r="K55" s="452" t="n"/>
      <c r="L55" s="452" t="n"/>
      <c r="M55" s="452" t="n">
        <v>0</v>
      </c>
      <c r="N55" s="452" t="n"/>
      <c r="O55" s="452" t="n"/>
      <c r="P55" s="452" t="n"/>
      <c r="Q55" s="452" t="n">
        <v>890</v>
      </c>
      <c r="R55" s="452" t="n"/>
      <c r="S55" s="452" t="n"/>
      <c r="T55" s="452" t="n"/>
      <c r="U55" s="452" t="n"/>
      <c r="V55" s="11" t="n"/>
      <c r="W55" s="11" t="n"/>
      <c r="X55" s="5">
        <f>SUM(J55:W55)</f>
        <v/>
      </c>
      <c r="Y55" s="22" t="n"/>
      <c r="Z55" s="47" t="n"/>
      <c r="AA55" s="47" t="n"/>
    </row>
    <row r="56" ht="17.25" customHeight="1">
      <c r="A56" s="441" t="n"/>
      <c r="B56" s="22" t="inlineStr">
        <is>
          <t>IP01</t>
        </is>
      </c>
      <c r="C56" s="9" t="inlineStr">
        <is>
          <t>FGA37</t>
        </is>
      </c>
      <c r="D56" s="7" t="inlineStr">
        <is>
          <t>DOWNSHIFTER 14 (M)</t>
        </is>
      </c>
      <c r="E56" s="34" t="inlineStr">
        <is>
          <t>IB1895-105</t>
        </is>
      </c>
      <c r="F56" s="9" t="inlineStr">
        <is>
          <t>WHITE</t>
        </is>
      </c>
      <c r="G56" s="22" t="inlineStr">
        <is>
          <t>No spray</t>
        </is>
      </c>
      <c r="H56" s="22" t="inlineStr">
        <is>
          <t>No spray</t>
        </is>
      </c>
      <c r="I56" s="22" t="inlineStr">
        <is>
          <t>ME</t>
        </is>
      </c>
      <c r="J56" s="452" t="n"/>
      <c r="K56" s="452" t="n"/>
      <c r="L56" s="452" t="n"/>
      <c r="M56" s="452" t="n"/>
      <c r="N56" s="452" t="n"/>
      <c r="O56" s="452" t="n"/>
      <c r="P56" s="452" t="n"/>
      <c r="Q56" s="452" t="n"/>
      <c r="R56" s="452" t="n">
        <v>618</v>
      </c>
      <c r="S56" s="452" t="n">
        <v>1388</v>
      </c>
      <c r="T56" s="452" t="n"/>
      <c r="U56" s="452" t="n"/>
      <c r="V56" s="11" t="n"/>
      <c r="W56" s="11" t="n"/>
      <c r="X56" s="5">
        <f>SUM(J56:W56)</f>
        <v/>
      </c>
      <c r="Y56" s="22" t="n"/>
      <c r="Z56" s="47" t="n"/>
      <c r="AA56" s="47" t="n"/>
    </row>
    <row r="57" ht="17.25" customHeight="1" thickBot="1">
      <c r="A57" s="441" t="n"/>
      <c r="B57" s="23" t="inlineStr">
        <is>
          <t>IP01</t>
        </is>
      </c>
      <c r="C57" s="10" t="inlineStr">
        <is>
          <t>FGA37</t>
        </is>
      </c>
      <c r="D57" s="8" t="inlineStr">
        <is>
          <t>DOWNSHIFTER 14 (M)</t>
        </is>
      </c>
      <c r="E57" s="18" t="inlineStr">
        <is>
          <t>IB1895-107</t>
        </is>
      </c>
      <c r="F57" s="10" t="inlineStr">
        <is>
          <t>WHITE</t>
        </is>
      </c>
      <c r="G57" s="23" t="inlineStr">
        <is>
          <t>No spray</t>
        </is>
      </c>
      <c r="H57" s="23" t="inlineStr">
        <is>
          <t>No spray</t>
        </is>
      </c>
      <c r="I57" s="23" t="inlineStr">
        <is>
          <t>ME</t>
        </is>
      </c>
      <c r="J57" s="445" t="n">
        <v>0</v>
      </c>
      <c r="K57" s="445" t="n"/>
      <c r="L57" s="445" t="n"/>
      <c r="M57" s="445" t="n"/>
      <c r="N57" s="445" t="n">
        <v>138</v>
      </c>
      <c r="O57" s="445" t="n">
        <v>1261</v>
      </c>
      <c r="P57" s="445" t="n">
        <v>1998</v>
      </c>
      <c r="Q57" s="445" t="n">
        <v>1264</v>
      </c>
      <c r="R57" s="445" t="n">
        <v>1434</v>
      </c>
      <c r="S57" s="445" t="n">
        <v>699</v>
      </c>
      <c r="T57" s="445" t="n">
        <v>1554</v>
      </c>
      <c r="U57" s="445" t="n"/>
      <c r="V57" s="13" t="n"/>
      <c r="W57" s="13" t="n"/>
      <c r="X57" s="2">
        <f>SUM(J57:W57)</f>
        <v/>
      </c>
      <c r="Y57" s="23" t="n"/>
      <c r="Z57" s="47" t="n"/>
      <c r="AA57" s="22" t="n"/>
    </row>
    <row r="58" ht="17.25" customHeight="1">
      <c r="A58" s="441" t="n"/>
      <c r="B58" s="21" t="inlineStr">
        <is>
          <t>IP01</t>
        </is>
      </c>
      <c r="C58" s="15" t="inlineStr">
        <is>
          <t>FGA38</t>
        </is>
      </c>
      <c r="D58" s="14" t="inlineStr">
        <is>
          <t>DOWNSHIFTER 14 (W)</t>
        </is>
      </c>
      <c r="E58" s="123" t="inlineStr">
        <is>
          <t>IB1899-001</t>
        </is>
      </c>
      <c r="F58" s="15" t="inlineStr">
        <is>
          <t>BLACK</t>
        </is>
      </c>
      <c r="G58" s="21" t="inlineStr">
        <is>
          <t>No spray</t>
        </is>
      </c>
      <c r="H58" s="21" t="inlineStr">
        <is>
          <t>No spray</t>
        </is>
      </c>
      <c r="I58" s="21" t="inlineStr">
        <is>
          <t>WO</t>
        </is>
      </c>
      <c r="J58" s="451" t="n"/>
      <c r="K58" s="451" t="n"/>
      <c r="L58" s="451" t="n"/>
      <c r="M58" s="451" t="n"/>
      <c r="N58" s="451" t="n"/>
      <c r="O58" s="451" t="n">
        <v>114</v>
      </c>
      <c r="P58" s="451" t="n">
        <v>899</v>
      </c>
      <c r="Q58" s="451" t="n">
        <v>179</v>
      </c>
      <c r="R58" s="451" t="n"/>
      <c r="S58" s="451" t="n"/>
      <c r="T58" s="451" t="n"/>
      <c r="U58" s="451" t="n"/>
      <c r="V58" s="12" t="n"/>
      <c r="W58" s="12" t="n"/>
      <c r="X58" s="3">
        <f>SUM(J58:W58)</f>
        <v/>
      </c>
      <c r="Y58" s="21" t="n"/>
      <c r="Z58" s="21" t="n"/>
      <c r="AA58" s="26" t="n"/>
    </row>
    <row r="59" ht="17.25" customHeight="1">
      <c r="A59" s="441" t="n"/>
      <c r="B59" s="22" t="inlineStr">
        <is>
          <t>IP01</t>
        </is>
      </c>
      <c r="C59" s="9" t="inlineStr">
        <is>
          <t>FGA38</t>
        </is>
      </c>
      <c r="D59" s="7" t="inlineStr">
        <is>
          <t>DOWNSHIFTER 14 (W)</t>
        </is>
      </c>
      <c r="E59" s="34" t="inlineStr">
        <is>
          <t>IB1899-106</t>
        </is>
      </c>
      <c r="F59" s="9" t="inlineStr">
        <is>
          <t>CUCUMBER CALM</t>
        </is>
      </c>
      <c r="G59" s="22" t="inlineStr">
        <is>
          <t>No spray</t>
        </is>
      </c>
      <c r="H59" s="22" t="inlineStr">
        <is>
          <t>No spray</t>
        </is>
      </c>
      <c r="I59" s="22" t="inlineStr">
        <is>
          <t>WO</t>
        </is>
      </c>
      <c r="J59" s="452" t="n"/>
      <c r="K59" s="452" t="n"/>
      <c r="L59" s="452" t="n"/>
      <c r="M59" s="452" t="n">
        <v>0</v>
      </c>
      <c r="N59" s="452" t="n">
        <v>24</v>
      </c>
      <c r="O59" s="452" t="n">
        <v>298</v>
      </c>
      <c r="P59" s="452" t="n"/>
      <c r="Q59" s="452" t="n"/>
      <c r="R59" s="452" t="n"/>
      <c r="S59" s="452" t="n"/>
      <c r="T59" s="452" t="n"/>
      <c r="U59" s="452" t="n"/>
      <c r="V59" s="11" t="n"/>
      <c r="W59" s="11" t="n"/>
      <c r="X59" s="5">
        <f>SUM(J59:W59)</f>
        <v/>
      </c>
      <c r="Y59" s="22" t="n"/>
      <c r="Z59" s="22" t="n"/>
      <c r="AA59" s="27" t="n"/>
    </row>
    <row r="60" ht="17.25" customHeight="1" thickBot="1">
      <c r="A60" s="449" t="n"/>
      <c r="B60" s="23" t="inlineStr">
        <is>
          <t>IP01</t>
        </is>
      </c>
      <c r="C60" s="10" t="inlineStr">
        <is>
          <t>FGA38</t>
        </is>
      </c>
      <c r="D60" s="8" t="inlineStr">
        <is>
          <t>DOWNSHIFTER 14 (W)</t>
        </is>
      </c>
      <c r="E60" s="18" t="inlineStr">
        <is>
          <t>IB1899-502</t>
        </is>
      </c>
      <c r="F60" s="10" t="inlineStr">
        <is>
          <t>SAIL</t>
        </is>
      </c>
      <c r="G60" s="23" t="inlineStr">
        <is>
          <t>No spray</t>
        </is>
      </c>
      <c r="H60" s="23" t="inlineStr">
        <is>
          <t>No spray</t>
        </is>
      </c>
      <c r="I60" s="23" t="inlineStr">
        <is>
          <t>WO</t>
        </is>
      </c>
      <c r="J60" s="445" t="n"/>
      <c r="K60" s="445" t="n"/>
      <c r="L60" s="445" t="n"/>
      <c r="M60" s="445" t="n"/>
      <c r="N60" s="445" t="n"/>
      <c r="O60" s="445" t="n"/>
      <c r="P60" s="445" t="n"/>
      <c r="Q60" s="445" t="n">
        <v>2185</v>
      </c>
      <c r="R60" s="445" t="n">
        <v>2364</v>
      </c>
      <c r="S60" s="445" t="n">
        <v>2364</v>
      </c>
      <c r="T60" s="445" t="n">
        <v>1680</v>
      </c>
      <c r="U60" s="445" t="n"/>
      <c r="V60" s="13" t="n"/>
      <c r="W60" s="13" t="n"/>
      <c r="X60" s="2">
        <f>SUM(J60:W60)</f>
        <v/>
      </c>
      <c r="Y60" s="23" t="n"/>
      <c r="Z60" s="23" t="n"/>
      <c r="AA60" s="28" t="n"/>
    </row>
    <row r="61" ht="17.25" customHeight="1">
      <c r="A61" s="380" t="inlineStr">
        <is>
          <t>G</t>
        </is>
      </c>
      <c r="B61" s="68" t="inlineStr">
        <is>
          <t>IP01</t>
        </is>
      </c>
      <c r="C61" s="100" t="inlineStr">
        <is>
          <t>FGA45</t>
        </is>
      </c>
      <c r="D61" s="98" t="inlineStr">
        <is>
          <t>JORDAN FLIGHT COURT (M)</t>
        </is>
      </c>
      <c r="E61" s="108" t="inlineStr">
        <is>
          <t>HF3255-015</t>
        </is>
      </c>
      <c r="F61" s="100" t="inlineStr">
        <is>
          <t>PHANTOM</t>
        </is>
      </c>
      <c r="G61" s="68" t="inlineStr">
        <is>
          <t>No spray</t>
        </is>
      </c>
      <c r="H61" s="68" t="inlineStr">
        <is>
          <t>No spray</t>
        </is>
      </c>
      <c r="I61" s="68" t="inlineStr">
        <is>
          <t>ME</t>
        </is>
      </c>
      <c r="J61" s="440" t="n">
        <v>0</v>
      </c>
      <c r="K61" s="440" t="n">
        <v>0</v>
      </c>
      <c r="L61" s="440" t="n"/>
      <c r="M61" s="440" t="n"/>
      <c r="N61" s="440" t="n"/>
      <c r="O61" s="440" t="n"/>
      <c r="P61" s="440" t="n">
        <v>891</v>
      </c>
      <c r="Q61" s="440" t="n">
        <v>1194</v>
      </c>
      <c r="R61" s="440" t="n">
        <v>946</v>
      </c>
      <c r="S61" s="440" t="n"/>
      <c r="T61" s="440" t="n"/>
      <c r="U61" s="440" t="n"/>
      <c r="V61" s="71" t="n"/>
      <c r="W61" s="71" t="n"/>
      <c r="X61" s="72">
        <f>SUM(J61:W61)</f>
        <v/>
      </c>
      <c r="Y61" s="68" t="n"/>
      <c r="Z61" s="22" t="n"/>
      <c r="AA61" s="27" t="n"/>
    </row>
    <row r="62" ht="17.25" customHeight="1">
      <c r="A62" s="441" t="n"/>
      <c r="B62" s="68" t="inlineStr">
        <is>
          <t>IP01</t>
        </is>
      </c>
      <c r="C62" s="100" t="inlineStr">
        <is>
          <t>FGA45</t>
        </is>
      </c>
      <c r="D62" s="98" t="inlineStr">
        <is>
          <t>JORDAN FLIGHT COURT (M)</t>
        </is>
      </c>
      <c r="E62" s="108" t="inlineStr">
        <is>
          <t>HF3255-016</t>
        </is>
      </c>
      <c r="F62" s="100" t="inlineStr">
        <is>
          <t>WHITE</t>
        </is>
      </c>
      <c r="G62" s="68" t="inlineStr">
        <is>
          <t>BLACK</t>
        </is>
      </c>
      <c r="H62" s="68" t="inlineStr">
        <is>
          <t>No spray</t>
        </is>
      </c>
      <c r="I62" s="68" t="inlineStr">
        <is>
          <t>ME</t>
        </is>
      </c>
      <c r="J62" s="440" t="n"/>
      <c r="K62" s="440" t="n"/>
      <c r="L62" s="440" t="n"/>
      <c r="M62" s="440" t="n"/>
      <c r="N62" s="440" t="n">
        <v>0</v>
      </c>
      <c r="O62" s="440" t="n">
        <v>0</v>
      </c>
      <c r="P62" s="440" t="n"/>
      <c r="Q62" s="440" t="n"/>
      <c r="R62" s="440" t="n">
        <v>253</v>
      </c>
      <c r="S62" s="440" t="n">
        <v>1200</v>
      </c>
      <c r="T62" s="440" t="n">
        <v>852</v>
      </c>
      <c r="U62" s="440" t="n"/>
      <c r="V62" s="71" t="n"/>
      <c r="W62" s="71" t="n"/>
      <c r="X62" s="72">
        <f>SUM(J62:W62)</f>
        <v/>
      </c>
      <c r="Y62" s="68" t="n"/>
      <c r="Z62" s="35" t="n"/>
      <c r="AA62" s="38" t="n"/>
    </row>
    <row r="63" ht="17.25" customHeight="1" thickBot="1">
      <c r="A63" s="449" t="n"/>
      <c r="B63" s="75" t="inlineStr">
        <is>
          <t>IP01</t>
        </is>
      </c>
      <c r="C63" s="82" t="inlineStr">
        <is>
          <t>FGA45</t>
        </is>
      </c>
      <c r="D63" s="81" t="inlineStr">
        <is>
          <t>JORDAN FLIGHT COURT (M)</t>
        </is>
      </c>
      <c r="E63" s="127" t="inlineStr">
        <is>
          <t>HF3255-107</t>
        </is>
      </c>
      <c r="F63" s="82" t="inlineStr">
        <is>
          <t>MUSLIN</t>
        </is>
      </c>
      <c r="G63" s="75" t="inlineStr">
        <is>
          <t>No spray</t>
        </is>
      </c>
      <c r="H63" s="75" t="inlineStr">
        <is>
          <t>No spray</t>
        </is>
      </c>
      <c r="I63" s="75" t="inlineStr">
        <is>
          <t>ME</t>
        </is>
      </c>
      <c r="J63" s="442" t="n"/>
      <c r="K63" s="442" t="n"/>
      <c r="L63" s="442" t="n"/>
      <c r="M63" s="442" t="n"/>
      <c r="N63" s="442" t="n"/>
      <c r="O63" s="442" t="n">
        <v>594</v>
      </c>
      <c r="P63" s="442" t="n">
        <v>158</v>
      </c>
      <c r="Q63" s="442" t="n"/>
      <c r="R63" s="442" t="n"/>
      <c r="S63" s="442" t="n"/>
      <c r="T63" s="442" t="n"/>
      <c r="U63" s="442" t="n"/>
      <c r="V63" s="78" t="n"/>
      <c r="W63" s="78" t="n"/>
      <c r="X63" s="79">
        <f>SUM(J63:W63)</f>
        <v/>
      </c>
      <c r="Y63" s="75" t="n"/>
      <c r="Z63" s="23" t="n"/>
      <c r="AA63" s="28" t="n"/>
    </row>
    <row r="64" ht="17.25" customHeight="1">
      <c r="A64" s="456" t="inlineStr">
        <is>
          <t>JJ2</t>
        </is>
      </c>
      <c r="B64" s="21" t="inlineStr">
        <is>
          <t>IP01</t>
        </is>
      </c>
      <c r="C64" s="15" t="inlineStr">
        <is>
          <t>FGAA4</t>
        </is>
      </c>
      <c r="D64" s="14" t="inlineStr">
        <is>
          <t>NIKE PROMINA (M)</t>
        </is>
      </c>
      <c r="E64" s="123" t="inlineStr">
        <is>
          <t>FV5285-002</t>
        </is>
      </c>
      <c r="F64" s="15" t="inlineStr">
        <is>
          <t>WHITE</t>
        </is>
      </c>
      <c r="G64" s="21" t="inlineStr">
        <is>
          <t>No spray</t>
        </is>
      </c>
      <c r="H64" s="21" t="inlineStr">
        <is>
          <t>No spray</t>
        </is>
      </c>
      <c r="I64" s="21" t="inlineStr">
        <is>
          <t>ME</t>
        </is>
      </c>
      <c r="J64" s="451" t="n"/>
      <c r="K64" s="451" t="n"/>
      <c r="L64" s="451" t="n"/>
      <c r="M64" s="451" t="n"/>
      <c r="N64" s="451" t="n"/>
      <c r="O64" s="451" t="n"/>
      <c r="P64" s="451" t="n"/>
      <c r="Q64" s="451" t="n"/>
      <c r="R64" s="451" t="n">
        <v>900</v>
      </c>
      <c r="S64" s="451" t="n">
        <v>1309</v>
      </c>
      <c r="T64" s="451" t="n">
        <v>1481</v>
      </c>
      <c r="U64" s="451" t="n"/>
      <c r="V64" s="12" t="n"/>
      <c r="W64" s="12" t="n"/>
      <c r="X64" s="3">
        <f>SUM(J64:W64)</f>
        <v/>
      </c>
      <c r="Y64" s="21" t="n"/>
      <c r="Z64" s="21" t="n"/>
      <c r="AA64" s="26" t="n"/>
    </row>
    <row r="65" ht="17.25" customHeight="1">
      <c r="A65" s="441" t="n"/>
      <c r="B65" s="22" t="inlineStr">
        <is>
          <t>IP01</t>
        </is>
      </c>
      <c r="C65" s="9" t="inlineStr">
        <is>
          <t>FGAA4</t>
        </is>
      </c>
      <c r="D65" s="7" t="inlineStr">
        <is>
          <t>NIKE PROMINA (M)</t>
        </is>
      </c>
      <c r="E65" s="34" t="inlineStr">
        <is>
          <t>FV5285-101</t>
        </is>
      </c>
      <c r="F65" s="9" t="inlineStr">
        <is>
          <t>WHITE</t>
        </is>
      </c>
      <c r="G65" s="22" t="inlineStr">
        <is>
          <t>No spray</t>
        </is>
      </c>
      <c r="H65" s="22" t="inlineStr">
        <is>
          <t>No spray</t>
        </is>
      </c>
      <c r="I65" s="22" t="inlineStr">
        <is>
          <t>ME</t>
        </is>
      </c>
      <c r="J65" s="452" t="n">
        <v>0</v>
      </c>
      <c r="K65" s="452" t="n">
        <v>0</v>
      </c>
      <c r="L65" s="452" t="n"/>
      <c r="M65" s="452" t="n"/>
      <c r="N65" s="452" t="n"/>
      <c r="O65" s="452" t="n"/>
      <c r="P65" s="452" t="n"/>
      <c r="Q65" s="452" t="n"/>
      <c r="R65" s="452" t="n"/>
      <c r="S65" s="452" t="n">
        <v>899</v>
      </c>
      <c r="T65" s="452" t="n"/>
      <c r="U65" s="452" t="n"/>
      <c r="V65" s="11" t="n"/>
      <c r="W65" s="11" t="n"/>
      <c r="X65" s="5">
        <f>SUM(J65:W65)</f>
        <v/>
      </c>
      <c r="Y65" s="22" t="n"/>
      <c r="Z65" s="22" t="n"/>
      <c r="AA65" s="27" t="n"/>
    </row>
    <row r="66" ht="17.25" customHeight="1">
      <c r="A66" s="441" t="n"/>
      <c r="B66" s="22" t="inlineStr">
        <is>
          <t>IP01</t>
        </is>
      </c>
      <c r="C66" s="9" t="inlineStr">
        <is>
          <t>FGAA4</t>
        </is>
      </c>
      <c r="D66" s="7" t="inlineStr">
        <is>
          <t>NIKE PROMINA (M)</t>
        </is>
      </c>
      <c r="E66" s="34" t="inlineStr">
        <is>
          <t>FV5285-302</t>
        </is>
      </c>
      <c r="F66" s="9" t="inlineStr">
        <is>
          <t>BLACK</t>
        </is>
      </c>
      <c r="G66" s="22" t="inlineStr">
        <is>
          <t>No spray</t>
        </is>
      </c>
      <c r="H66" s="22" t="inlineStr">
        <is>
          <t>No spray</t>
        </is>
      </c>
      <c r="I66" s="22" t="inlineStr">
        <is>
          <t>ME</t>
        </is>
      </c>
      <c r="J66" s="452" t="n"/>
      <c r="K66" s="452" t="n"/>
      <c r="L66" s="452" t="n"/>
      <c r="M66" s="452" t="n"/>
      <c r="N66" s="452" t="n"/>
      <c r="O66" s="452" t="n"/>
      <c r="P66" s="452" t="n"/>
      <c r="Q66" s="452" t="n"/>
      <c r="R66" s="452" t="n"/>
      <c r="S66" s="452" t="n"/>
      <c r="T66" s="452" t="n">
        <v>4</v>
      </c>
      <c r="U66" s="452" t="n"/>
      <c r="V66" s="11" t="n"/>
      <c r="W66" s="11" t="n"/>
      <c r="X66" s="5">
        <f>SUM(J66:W66)</f>
        <v/>
      </c>
      <c r="Y66" s="22" t="n"/>
      <c r="Z66" s="22" t="n"/>
      <c r="AA66" s="27" t="n"/>
    </row>
    <row r="67" ht="17.25" customHeight="1">
      <c r="A67" s="441" t="n"/>
      <c r="B67" s="22" t="inlineStr">
        <is>
          <t>IP01</t>
        </is>
      </c>
      <c r="C67" s="9" t="inlineStr">
        <is>
          <t>FGAA4</t>
        </is>
      </c>
      <c r="D67" s="7" t="inlineStr">
        <is>
          <t>NIKE PROMINA (M)</t>
        </is>
      </c>
      <c r="E67" s="34" t="inlineStr">
        <is>
          <t>FV5285-303</t>
        </is>
      </c>
      <c r="F67" s="9" t="inlineStr">
        <is>
          <t>SAIL</t>
        </is>
      </c>
      <c r="G67" s="22" t="inlineStr">
        <is>
          <t>No spray</t>
        </is>
      </c>
      <c r="H67" s="22" t="inlineStr">
        <is>
          <t>No spray</t>
        </is>
      </c>
      <c r="I67" s="22" t="inlineStr">
        <is>
          <t>ME</t>
        </is>
      </c>
      <c r="J67" s="452" t="n">
        <v>0</v>
      </c>
      <c r="K67" s="452" t="n"/>
      <c r="L67" s="452" t="n"/>
      <c r="M67" s="452" t="n"/>
      <c r="N67" s="452" t="n"/>
      <c r="O67" s="452" t="n"/>
      <c r="P67" s="452" t="n"/>
      <c r="Q67" s="452" t="n"/>
      <c r="R67" s="452" t="n"/>
      <c r="S67" s="452" t="n"/>
      <c r="T67" s="452" t="n">
        <v>6</v>
      </c>
      <c r="U67" s="452" t="n"/>
      <c r="V67" s="11" t="n"/>
      <c r="W67" s="11" t="n"/>
      <c r="X67" s="5">
        <f>SUM(J67:W67)</f>
        <v/>
      </c>
      <c r="Y67" s="22" t="n"/>
      <c r="Z67" s="22" t="n"/>
      <c r="AA67" s="27" t="n"/>
    </row>
    <row r="68" ht="17.25" customHeight="1">
      <c r="A68" s="441" t="n"/>
      <c r="B68" s="22" t="inlineStr">
        <is>
          <t>IP01</t>
        </is>
      </c>
      <c r="C68" s="9" t="inlineStr">
        <is>
          <t>FGAA4</t>
        </is>
      </c>
      <c r="D68" s="7" t="inlineStr">
        <is>
          <t>NIKE PROMINA (W)</t>
        </is>
      </c>
      <c r="E68" s="34" t="inlineStr">
        <is>
          <t>FV6343-001</t>
        </is>
      </c>
      <c r="F68" s="9" t="inlineStr">
        <is>
          <t>BLACK</t>
        </is>
      </c>
      <c r="G68" s="22" t="inlineStr">
        <is>
          <t>No spray</t>
        </is>
      </c>
      <c r="H68" s="22" t="inlineStr">
        <is>
          <t>No spray</t>
        </is>
      </c>
      <c r="I68" s="22" t="inlineStr">
        <is>
          <t>WO</t>
        </is>
      </c>
      <c r="J68" s="452" t="n"/>
      <c r="K68" s="452" t="n"/>
      <c r="L68" s="452" t="n"/>
      <c r="M68" s="452" t="n"/>
      <c r="N68" s="452" t="n"/>
      <c r="O68" s="452" t="n">
        <v>0</v>
      </c>
      <c r="P68" s="452" t="n">
        <v>168</v>
      </c>
      <c r="Q68" s="452" t="n">
        <v>27</v>
      </c>
      <c r="R68" s="452" t="n"/>
      <c r="S68" s="452" t="n"/>
      <c r="T68" s="452" t="n"/>
      <c r="U68" s="452" t="n"/>
      <c r="V68" s="11" t="n"/>
      <c r="W68" s="11" t="n"/>
      <c r="X68" s="5">
        <f>SUM(J68:W68)</f>
        <v/>
      </c>
      <c r="Y68" s="22" t="n"/>
      <c r="Z68" s="22" t="n"/>
      <c r="AA68" s="27" t="n"/>
    </row>
    <row r="69" ht="17.25" customHeight="1">
      <c r="A69" s="441" t="n"/>
      <c r="B69" s="35" t="inlineStr">
        <is>
          <t>IP01</t>
        </is>
      </c>
      <c r="C69" s="39" t="inlineStr">
        <is>
          <t>FGAA4</t>
        </is>
      </c>
      <c r="D69" s="40" t="inlineStr">
        <is>
          <t>NIKE PROMINA (W)</t>
        </is>
      </c>
      <c r="E69" s="150" t="inlineStr">
        <is>
          <t>FV6343-002</t>
        </is>
      </c>
      <c r="F69" s="39" t="inlineStr">
        <is>
          <t>WHITE</t>
        </is>
      </c>
      <c r="G69" s="35" t="inlineStr">
        <is>
          <t>No spray</t>
        </is>
      </c>
      <c r="H69" s="35" t="inlineStr">
        <is>
          <t>No spray</t>
        </is>
      </c>
      <c r="I69" s="35" t="inlineStr">
        <is>
          <t>WO</t>
        </is>
      </c>
      <c r="J69" s="453" t="n"/>
      <c r="K69" s="453" t="n"/>
      <c r="L69" s="453" t="n"/>
      <c r="M69" s="453" t="n">
        <v>0</v>
      </c>
      <c r="N69" s="453" t="n">
        <v>0</v>
      </c>
      <c r="O69" s="453" t="n">
        <v>0</v>
      </c>
      <c r="P69" s="453" t="n">
        <v>0</v>
      </c>
      <c r="Q69" s="453" t="n">
        <v>285</v>
      </c>
      <c r="R69" s="453" t="n">
        <v>1130</v>
      </c>
      <c r="S69" s="453" t="n"/>
      <c r="T69" s="453" t="n">
        <v>3</v>
      </c>
      <c r="U69" s="453" t="n"/>
      <c r="V69" s="36" t="n"/>
      <c r="W69" s="36" t="n"/>
      <c r="X69" s="37">
        <f>SUM(J69:W69)</f>
        <v/>
      </c>
      <c r="Y69" s="35" t="n"/>
      <c r="Z69" s="35" t="n"/>
      <c r="AA69" s="38" t="n"/>
    </row>
    <row r="70" ht="17.25" customHeight="1" thickBot="1">
      <c r="A70" s="449" t="n"/>
      <c r="B70" s="2" t="inlineStr">
        <is>
          <t>IP01</t>
        </is>
      </c>
      <c r="C70" s="2" t="inlineStr">
        <is>
          <t>FGAA4</t>
        </is>
      </c>
      <c r="D70" s="41" t="inlineStr">
        <is>
          <t>NIKE PROMINA (W)</t>
        </is>
      </c>
      <c r="E70" s="42" t="inlineStr">
        <is>
          <t>FV6343-011</t>
        </is>
      </c>
      <c r="F70" s="2" t="inlineStr">
        <is>
          <t>FOOTBALL GREY</t>
        </is>
      </c>
      <c r="G70" s="2" t="inlineStr">
        <is>
          <t>No spray</t>
        </is>
      </c>
      <c r="H70" s="2" t="inlineStr">
        <is>
          <t>No spray</t>
        </is>
      </c>
      <c r="I70" s="2" t="inlineStr">
        <is>
          <t>WO</t>
        </is>
      </c>
      <c r="J70" s="445" t="n"/>
      <c r="K70" s="445" t="n"/>
      <c r="L70" s="445" t="n"/>
      <c r="M70" s="445" t="n"/>
      <c r="N70" s="445" t="n"/>
      <c r="O70" s="445" t="n"/>
      <c r="P70" s="445" t="n"/>
      <c r="Q70" s="445" t="n"/>
      <c r="R70" s="445" t="n"/>
      <c r="S70" s="445" t="n"/>
      <c r="T70" s="445" t="n">
        <v>79</v>
      </c>
      <c r="U70" s="445" t="n"/>
      <c r="V70" s="13" t="n"/>
      <c r="W70" s="13" t="n"/>
      <c r="X70" s="2">
        <f>SUM(J70:W70)</f>
        <v/>
      </c>
      <c r="Y70" s="23" t="n"/>
      <c r="Z70" s="23" t="n"/>
      <c r="AA70" s="28" t="n"/>
    </row>
    <row r="71" ht="12" customHeight="1" thickBot="1">
      <c r="A71" s="457" t="inlineStr">
        <is>
          <t>GRAND TOTAL</t>
        </is>
      </c>
      <c r="B71" s="427" t="n"/>
      <c r="C71" s="427" t="n"/>
      <c r="D71" s="427" t="n"/>
      <c r="E71" s="427" t="n"/>
      <c r="F71" s="427" t="n"/>
      <c r="G71" s="427" t="n"/>
      <c r="H71" s="427" t="n"/>
      <c r="I71" s="458" t="n"/>
      <c r="J71" s="24">
        <f>SUM(J6:J70)</f>
        <v/>
      </c>
      <c r="K71" s="24">
        <f>SUM(K6:K70)</f>
        <v/>
      </c>
      <c r="L71" s="24">
        <f>SUM(L6:L70)</f>
        <v/>
      </c>
      <c r="M71" s="24">
        <f>SUM(M6:M70)</f>
        <v/>
      </c>
      <c r="N71" s="24">
        <f>SUM(N6:N70)</f>
        <v/>
      </c>
      <c r="O71" s="24">
        <f>SUM(O6:O70)</f>
        <v/>
      </c>
      <c r="P71" s="24">
        <f>SUM(P6:P70)</f>
        <v/>
      </c>
      <c r="Q71" s="24">
        <f>SUM(Q6:Q70)</f>
        <v/>
      </c>
      <c r="R71" s="24">
        <f>SUM(R6:R70)</f>
        <v/>
      </c>
      <c r="S71" s="24">
        <f>SUM(S6:S70)</f>
        <v/>
      </c>
      <c r="T71" s="24">
        <f>SUM(T6:T70)</f>
        <v/>
      </c>
      <c r="U71" s="24" t="n"/>
      <c r="V71" s="24">
        <f>SUM(V6:V70)</f>
        <v/>
      </c>
      <c r="W71" s="24">
        <f>SUM(W6:W70)</f>
        <v/>
      </c>
      <c r="X71" s="24">
        <f>SUM(X6:X70)</f>
        <v/>
      </c>
      <c r="Y71" s="25" t="n"/>
      <c r="Z71" s="25" t="n"/>
      <c r="AA71" s="25" t="n"/>
    </row>
    <row r="73" ht="12" customHeight="1">
      <c r="X73" s="459" t="n"/>
    </row>
    <row r="74" ht="12" customHeight="1">
      <c r="X74" s="60" t="n"/>
    </row>
    <row r="75" ht="12" customHeight="1">
      <c r="X75" s="460" t="n"/>
    </row>
  </sheetData>
  <mergeCells count="24">
    <mergeCell ref="A1:D2"/>
    <mergeCell ref="AA3:AA5"/>
    <mergeCell ref="A38:A49"/>
    <mergeCell ref="A50:A60"/>
    <mergeCell ref="A28:A37"/>
    <mergeCell ref="J3:S3"/>
    <mergeCell ref="H3:H5"/>
    <mergeCell ref="A71:I71"/>
    <mergeCell ref="C3:C5"/>
    <mergeCell ref="E3:E5"/>
    <mergeCell ref="B3:B5"/>
    <mergeCell ref="Y3:Y5"/>
    <mergeCell ref="X1:AA2"/>
    <mergeCell ref="A64:A70"/>
    <mergeCell ref="F3:F5"/>
    <mergeCell ref="A61:A63"/>
    <mergeCell ref="I3:I5"/>
    <mergeCell ref="Z3:Z5"/>
    <mergeCell ref="X3:X5"/>
    <mergeCell ref="A3:A5"/>
    <mergeCell ref="G3:G5"/>
    <mergeCell ref="D3:D5"/>
    <mergeCell ref="A6:A23"/>
    <mergeCell ref="A24:A27"/>
  </mergeCells>
  <conditionalFormatting sqref="G6:H70">
    <cfRule type="cellIs" priority="3" operator="lessThan" dxfId="28">
      <formula>"NO SPRAY"</formula>
    </cfRule>
    <cfRule type="cellIs" priority="4" operator="greaterThan" dxfId="28">
      <formula>"NO SPRAY"</formula>
    </cfRule>
  </conditionalFormatting>
  <conditionalFormatting sqref="J6:O70">
    <cfRule type="cellIs" priority="6" operator="greaterThan" dxfId="2">
      <formula>0</formula>
    </cfRule>
  </conditionalFormatting>
  <conditionalFormatting sqref="P6:P39 P41 P43 P45:P63 Q6:Q70">
    <cfRule type="cellIs" priority="17" operator="greaterThan" dxfId="1">
      <formula>0</formula>
    </cfRule>
  </conditionalFormatting>
  <conditionalFormatting sqref="P40 P42 P64:P70">
    <cfRule type="cellIs" priority="2" operator="greaterThan" dxfId="2">
      <formula>0</formula>
    </cfRule>
  </conditionalFormatting>
  <conditionalFormatting sqref="R6:W70">
    <cfRule type="cellIs" priority="49" operator="greaterThan" dxfId="0">
      <formula>0</formula>
    </cfRule>
  </conditionalFormatting>
  <pageMargins left="1" right="1" top="1" bottom="1" header="0.5" footer="0.5"/>
  <pageSetup orientation="landscape" paperSize="9" scale="3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Plan-CKP, Caca-JJ</dc:creator>
  <dcterms:created xmlns:dcterms="http://purl.org/dc/terms/" xmlns:xsi="http://www.w3.org/2001/XMLSchema-instance" xsi:type="dcterms:W3CDTF">2025-03-13T01:27:40Z</dcterms:created>
  <dcterms:modified xmlns:dcterms="http://purl.org/dc/terms/" xmlns:xsi="http://www.w3.org/2001/XMLSchema-instance" xsi:type="dcterms:W3CDTF">2026-06-24T12:32:25Z</dcterms:modified>
  <cp:lastModifiedBy>이용범(산업경영공학과)</cp:lastModifiedBy>
  <cp:lastPrinted>2026-03-06T07:27:22Z</cp:lastPrinted>
</cp:coreProperties>
</file>