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39" firstSheet="3" autoFilterDateGrouping="1"/>
  </bookViews>
  <sheets>
    <sheet name="3-1. Balance IP Production" sheetId="1" state="visible" r:id="rId1"/>
  </sheets>
  <definedNames>
    <definedName name="_xlnm._FilterDatabase" localSheetId="0" hidden="1">'3-1. Balance IP Production'!$A$10:$AJ$113</definedName>
    <definedName name="_xlnm.Print_Titles" localSheetId="0">'3-1. Balance IP Production'!$6:$9</definedName>
    <definedName name="_xlnm.Print_Area" localSheetId="0">'3-1. Balance IP Production'!$A$1:$AK$112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[$-F800]dddd\,\ mmmm\ dd\,\ yyyy"/>
    <numFmt numFmtId="165" formatCode="[$-409]h:mm\ AM/PM;@"/>
    <numFmt numFmtId="166" formatCode="0.000"/>
    <numFmt numFmtId="167" formatCode="#,###"/>
    <numFmt numFmtId="168" formatCode="[$-409]mmm/yy;@"/>
    <numFmt numFmtId="169" formatCode="[$-421]dddd\,\ dd\ mmmm\ yyyy;@"/>
    <numFmt numFmtId="170" formatCode="_(* #,##0_);_(* \(#,##0\);_(* &quot;-&quot;??_);_(@_)"/>
    <numFmt numFmtId="171" formatCode="_(* #,##0.0_);_(* \(#,##0.0\);_(* &quot;-&quot;??_);_(@_)"/>
    <numFmt numFmtId="172" formatCode="_(* #,##0.0_);_(* \(#,##0.0\);_(* &quot;-&quot;?_);_(@_)"/>
    <numFmt numFmtId="173" formatCode="0.0"/>
    <numFmt numFmtId="174" formatCode="0.0%"/>
    <numFmt numFmtId="175" formatCode="#,##0.0"/>
    <numFmt numFmtId="176" formatCode="#,##0.000"/>
    <numFmt numFmtId="177" formatCode="#,##0.00000"/>
    <numFmt numFmtId="178" formatCode="#,##0.0000000"/>
    <numFmt numFmtId="179" formatCode="0.000%"/>
    <numFmt numFmtId="180" formatCode="[$-409]d\-mmm;@"/>
    <numFmt numFmtId="181" formatCode="m/d/yy;@"/>
  </numFmts>
  <fonts count="81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Malgun Gothic"/>
      <family val="2"/>
      <b val="1"/>
      <color theme="1"/>
      <sz val="18"/>
      <u val="single"/>
    </font>
    <font>
      <name val="Malgun Gothic"/>
      <family val="2"/>
      <b val="1"/>
      <color theme="1"/>
      <sz val="16"/>
      <u val="single"/>
    </font>
    <font>
      <name val="Malgun Gothic"/>
      <family val="2"/>
      <b val="1"/>
      <color theme="1"/>
      <sz val="12"/>
      <u val="single"/>
    </font>
    <font>
      <name val="Malgun Gothic"/>
      <family val="2"/>
      <b val="1"/>
      <sz val="12"/>
    </font>
    <font>
      <name val="Malgun Gothic"/>
      <family val="2"/>
      <b val="1"/>
      <color theme="1"/>
      <sz val="12"/>
    </font>
    <font>
      <name val="Malgun Gothic"/>
      <family val="2"/>
      <color theme="1"/>
      <sz val="12"/>
    </font>
    <font>
      <name val="Malgun Gothic"/>
      <family val="2"/>
      <b val="1"/>
      <color theme="0"/>
      <sz val="12"/>
    </font>
    <font>
      <name val="맑은 고딕"/>
      <family val="2"/>
      <b val="1"/>
      <color theme="0"/>
      <sz val="12"/>
      <scheme val="minor"/>
    </font>
    <font>
      <name val="맑은 고딕"/>
      <family val="2"/>
      <b val="1"/>
      <color theme="1"/>
      <sz val="12"/>
      <scheme val="minor"/>
    </font>
    <font>
      <name val="Malgun Gothic"/>
      <family val="2"/>
      <b val="1"/>
      <color rgb="FF000000"/>
      <sz val="12"/>
    </font>
    <font>
      <name val="Malgun Gothic"/>
      <family val="2"/>
      <b val="1"/>
      <color rgb="FF000000"/>
      <sz val="12"/>
      <u val="single"/>
    </font>
    <font>
      <name val="Malgun Gothic"/>
      <family val="2"/>
      <color rgb="FF000000"/>
      <sz val="12"/>
    </font>
    <font>
      <name val="Malgun Gothic"/>
      <family val="2"/>
      <sz val="12"/>
    </font>
    <font>
      <name val="Malgun Gothic"/>
      <family val="2"/>
      <b val="1"/>
      <color rgb="FF000000"/>
      <sz val="11"/>
    </font>
    <font>
      <name val="Malgun Gothic"/>
      <family val="2"/>
      <b val="1"/>
      <sz val="11"/>
    </font>
    <font>
      <name val="Malgun Gothic"/>
      <family val="2"/>
      <b val="1"/>
      <color theme="0"/>
      <sz val="11"/>
    </font>
    <font>
      <name val="Malgun Gothic"/>
      <family val="2"/>
      <b val="1"/>
      <color rgb="FF000000"/>
      <sz val="10"/>
    </font>
    <font>
      <name val="Malgun Gothic"/>
      <family val="2"/>
      <b val="1"/>
      <color theme="1"/>
      <sz val="10"/>
    </font>
    <font>
      <name val="Malgun Gothic"/>
      <family val="2"/>
      <b val="1"/>
      <sz val="10"/>
    </font>
    <font>
      <name val="Malgun Gothic"/>
      <family val="2"/>
      <color theme="1"/>
      <sz val="10"/>
    </font>
    <font>
      <name val="Malgun Gothic"/>
      <family val="2"/>
      <b val="1"/>
      <sz val="14"/>
    </font>
    <font>
      <name val="Calibri"/>
      <family val="2"/>
      <color rgb="FF000000"/>
      <sz val="10"/>
    </font>
    <font>
      <name val="Calibri"/>
      <family val="2"/>
      <color rgb="FFFF7F50"/>
      <sz val="10"/>
    </font>
    <font>
      <name val="맑은 고딕"/>
      <family val="2"/>
      <b val="1"/>
      <color theme="0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20"/>
      <scheme val="minor"/>
    </font>
    <font>
      <name val="맑은 고딕"/>
      <family val="2"/>
      <b val="1"/>
      <sz val="11"/>
      <scheme val="minor"/>
    </font>
    <font>
      <name val="맑은 고딕"/>
      <family val="2"/>
      <b val="1"/>
      <color theme="1"/>
      <sz val="16"/>
      <scheme val="minor"/>
    </font>
    <font>
      <name val="맑은 고딕"/>
      <family val="2"/>
      <b val="1"/>
      <color theme="1"/>
      <sz val="10"/>
      <scheme val="minor"/>
    </font>
    <font>
      <name val="맑은 고딕"/>
      <family val="2"/>
      <b val="1"/>
      <color theme="1"/>
      <sz val="22"/>
      <u val="single"/>
      <scheme val="minor"/>
    </font>
    <font>
      <name val="Calibri"/>
      <family val="2"/>
      <b val="1"/>
      <color rgb="FF000000"/>
      <sz val="10"/>
    </font>
    <font>
      <name val="맑은 고딕"/>
      <family val="2"/>
      <b val="1"/>
      <color theme="1"/>
      <sz val="14"/>
      <scheme val="minor"/>
    </font>
    <font>
      <name val="Calibri"/>
      <family val="2"/>
      <b val="1"/>
      <color rgb="FF002060"/>
      <sz val="26"/>
      <u val="single"/>
    </font>
    <font>
      <name val="맑은 고딕"/>
      <family val="2"/>
      <b val="1"/>
      <color rgb="FF002060"/>
      <sz val="14"/>
      <u val="single"/>
      <scheme val="minor"/>
    </font>
    <font>
      <name val="맑은 고딕"/>
      <family val="2"/>
      <color theme="1"/>
      <sz val="18"/>
      <scheme val="minor"/>
    </font>
    <font>
      <name val="맑은 고딕"/>
      <family val="2"/>
      <b val="1"/>
      <color rgb="FF002060"/>
      <sz val="11"/>
      <scheme val="minor"/>
    </font>
    <font>
      <name val="맑은 고딕"/>
      <family val="2"/>
      <b val="1"/>
      <color rgb="FF002060"/>
      <sz val="14"/>
      <scheme val="minor"/>
    </font>
    <font>
      <name val="Tahoma"/>
      <family val="2"/>
      <b val="1"/>
      <color rgb="FF000000"/>
      <sz val="10"/>
    </font>
    <font>
      <name val="맑은 고딕"/>
      <family val="2"/>
      <color theme="1"/>
      <sz val="14"/>
      <scheme val="minor"/>
    </font>
    <font>
      <name val="맑은 고딕"/>
      <family val="2"/>
      <color theme="1"/>
      <sz val="12"/>
      <scheme val="minor"/>
    </font>
    <font>
      <name val="Tahoma"/>
      <family val="2"/>
      <b val="1"/>
      <color theme="1"/>
      <sz val="14"/>
    </font>
    <font>
      <name val="맑은 고딕"/>
      <family val="2"/>
      <b val="1"/>
      <color rgb="FF002060"/>
      <sz val="16"/>
      <scheme val="minor"/>
    </font>
    <font>
      <name val="맑은 고딕"/>
      <family val="2"/>
      <color rgb="FF002060"/>
      <sz val="11"/>
      <scheme val="minor"/>
    </font>
    <font>
      <name val="Tahoma"/>
      <family val="2"/>
      <b val="1"/>
      <color theme="1"/>
      <sz val="10"/>
    </font>
    <font>
      <name val="Malgun Gothic"/>
      <family val="2"/>
      <color theme="1"/>
      <sz val="9"/>
    </font>
    <font>
      <name val="Wingdings"/>
      <charset val="2"/>
      <color theme="1"/>
      <sz val="9"/>
    </font>
    <font>
      <name val="맑은 고딕"/>
      <family val="2"/>
      <b val="1"/>
      <color theme="1"/>
      <sz val="24"/>
      <scheme val="minor"/>
    </font>
    <font>
      <name val="맑은 고딕"/>
      <family val="2"/>
      <b val="1"/>
      <color theme="1"/>
      <sz val="22"/>
      <scheme val="minor"/>
    </font>
    <font>
      <name val="맑은 고딕"/>
      <family val="2"/>
      <color theme="1"/>
      <sz val="16"/>
      <scheme val="minor"/>
    </font>
    <font>
      <name val="Malgun Gothic"/>
      <family val="2"/>
      <b val="1"/>
      <color theme="1"/>
      <sz val="16"/>
    </font>
    <font>
      <name val="맑은 고딕"/>
      <charset val="129"/>
      <family val="3"/>
      <b val="1"/>
      <color theme="1"/>
      <sz val="18"/>
      <scheme val="minor"/>
    </font>
    <font>
      <name val="맑은 고딕"/>
      <family val="2"/>
      <b val="1"/>
      <color theme="1"/>
      <sz val="18"/>
      <u val="single"/>
      <scheme val="minor"/>
    </font>
    <font>
      <name val="맑은 고딕"/>
      <family val="2"/>
      <b val="1"/>
      <color theme="1"/>
      <sz val="18"/>
      <scheme val="minor"/>
    </font>
    <font>
      <name val="맑은 고딕"/>
      <family val="2"/>
      <color theme="1"/>
      <sz val="22"/>
      <scheme val="minor"/>
    </font>
    <font>
      <name val="맑은 고딕"/>
      <family val="2"/>
      <color theme="1"/>
      <sz val="20"/>
      <scheme val="minor"/>
    </font>
    <font>
      <name val="Malgun Gothic"/>
      <family val="2"/>
      <b val="1"/>
      <color rgb="FF000000"/>
      <sz val="9"/>
    </font>
    <font>
      <name val="Malgun Gothic"/>
      <family val="2"/>
      <color rgb="FF000000"/>
      <sz val="9"/>
    </font>
    <font>
      <name val="Malgun Gothic"/>
      <family val="2"/>
      <b val="1"/>
      <color theme="1"/>
      <sz val="9"/>
    </font>
    <font>
      <name val="Malgun Gothic"/>
      <family val="2"/>
      <color theme="1"/>
      <sz val="8"/>
    </font>
    <font>
      <name val="Malgun Gothic"/>
      <family val="2"/>
      <b val="1"/>
      <sz val="9"/>
    </font>
    <font>
      <name val="Malgun Gothic"/>
      <family val="2"/>
      <color theme="1"/>
      <sz val="11"/>
    </font>
    <font>
      <name val="Malgun Gothic"/>
      <family val="2"/>
      <sz val="9"/>
    </font>
    <font>
      <name val="Tahoma"/>
      <family val="2"/>
      <color theme="0"/>
      <sz val="8.25"/>
    </font>
    <font>
      <name val="Tahoma"/>
      <family val="2"/>
      <color rgb="FF000000"/>
      <sz val="8.25"/>
    </font>
    <font>
      <name val="Tahoma"/>
      <family val="2"/>
      <color rgb="FF000000"/>
      <sz val="10"/>
    </font>
    <font>
      <name val="Tahoma"/>
      <family val="2"/>
      <color theme="0"/>
      <sz val="10"/>
    </font>
    <font>
      <name val="맑은 고딕"/>
      <family val="2"/>
      <b val="1"/>
      <color theme="1"/>
      <sz val="36"/>
      <scheme val="minor"/>
    </font>
    <font>
      <name val="맑은 고딕"/>
      <family val="2"/>
      <b val="1"/>
      <color theme="0"/>
      <sz val="18"/>
      <scheme val="minor"/>
    </font>
    <font>
      <name val="맑은 고딕"/>
      <family val="2"/>
      <b val="1"/>
      <sz val="18"/>
      <scheme val="minor"/>
    </font>
    <font>
      <name val="맑은 고딕"/>
      <family val="2"/>
      <sz val="18"/>
      <scheme val="minor"/>
    </font>
    <font>
      <name val="맑은 고딕"/>
      <family val="2"/>
      <b val="1"/>
      <i val="1"/>
      <sz val="18"/>
      <scheme val="minor"/>
    </font>
    <font>
      <name val="Calibri"/>
      <family val="2"/>
      <b val="1"/>
      <color rgb="FF002060"/>
      <sz val="24"/>
      <u val="single"/>
    </font>
    <font>
      <name val="맑은 고딕"/>
      <family val="2"/>
      <b val="1"/>
      <color rgb="FF002060"/>
      <sz val="24"/>
      <u val="single"/>
      <scheme val="minor"/>
    </font>
    <font>
      <name val="맑은 고딕"/>
      <family val="2"/>
      <color theme="1"/>
      <sz val="24"/>
      <scheme val="minor"/>
    </font>
    <font>
      <name val="Tahoma"/>
      <family val="2"/>
      <b val="1"/>
      <color rgb="FF000000"/>
      <sz val="16"/>
    </font>
    <font>
      <name val="맑은 고딕"/>
      <family val="2"/>
      <b val="1"/>
      <i val="1"/>
      <color theme="1"/>
      <sz val="16"/>
      <scheme val="minor"/>
    </font>
    <font>
      <name val="맑은 고딕"/>
      <family val="2"/>
      <i val="1"/>
      <color theme="1"/>
      <sz val="16"/>
      <scheme val="minor"/>
    </font>
    <font>
      <name val="맑은 고딕"/>
      <charset val="129"/>
      <family val="3"/>
      <sz val="8"/>
      <scheme val="minor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3D3D3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CB"/>
      </patternFill>
    </fill>
    <fill>
      <patternFill patternType="solid">
        <fgColor rgb="FFE0FFFF"/>
      </patternFill>
    </fill>
    <fill>
      <patternFill patternType="solid">
        <fgColor rgb="FFF5F9DE"/>
      </patternFill>
    </fill>
    <fill>
      <patternFill patternType="solid">
        <fgColor rgb="FF87CEFA"/>
      </patternFill>
    </fill>
    <fill>
      <patternFill patternType="solid">
        <fgColor rgb="FFEAEDF2"/>
      </patternFill>
    </fill>
    <fill>
      <patternFill patternType="solid">
        <fgColor rgb="FFFFCC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C0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/>
        <bgColor indexed="64"/>
      </patternFill>
    </fill>
  </fills>
  <borders count="421"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dashed">
        <color theme="1"/>
      </top>
      <bottom style="dashed">
        <color theme="1"/>
      </bottom>
      <diagonal/>
    </border>
    <border>
      <left/>
      <right style="thin">
        <color theme="1"/>
      </right>
      <top style="dashed">
        <color theme="1"/>
      </top>
      <bottom style="dashed">
        <color theme="1"/>
      </bottom>
      <diagonal/>
    </border>
    <border>
      <left/>
      <right style="medium">
        <color theme="1"/>
      </right>
      <top style="dashed">
        <color theme="1"/>
      </top>
      <bottom style="dashed">
        <color theme="1"/>
      </bottom>
      <diagonal/>
    </border>
    <border>
      <left style="thin">
        <color theme="1"/>
      </left>
      <right style="thin">
        <color theme="1"/>
      </right>
      <top style="dashed">
        <color theme="1"/>
      </top>
      <bottom style="medium">
        <color theme="1"/>
      </bottom>
      <diagonal/>
    </border>
    <border>
      <left/>
      <right style="thin">
        <color theme="1"/>
      </right>
      <top style="dashed">
        <color theme="1"/>
      </top>
      <bottom style="medium">
        <color theme="1"/>
      </bottom>
      <diagonal/>
    </border>
    <border>
      <left/>
      <right style="medium">
        <color theme="1"/>
      </right>
      <top style="dashed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dashed">
        <color theme="1"/>
      </top>
      <bottom/>
      <diagonal/>
    </border>
    <border>
      <left/>
      <right style="thin">
        <color theme="1"/>
      </right>
      <top style="dashed">
        <color theme="1"/>
      </top>
      <bottom/>
      <diagonal/>
    </border>
    <border>
      <left/>
      <right style="medium">
        <color theme="1"/>
      </right>
      <top style="dashed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dashed">
        <color theme="1"/>
      </top>
      <bottom/>
      <diagonal/>
    </border>
    <border>
      <left/>
      <right/>
      <top style="dashed">
        <color theme="1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dashed">
        <color theme="1"/>
      </top>
      <bottom style="medium">
        <color theme="1"/>
      </bottom>
      <diagonal/>
    </border>
    <border>
      <left/>
      <right/>
      <top style="dashed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/>
      <top style="medium">
        <color theme="1"/>
      </top>
      <bottom style="dashed">
        <color theme="1"/>
      </bottom>
      <diagonal/>
    </border>
    <border>
      <left/>
      <right/>
      <top style="medium">
        <color theme="1"/>
      </top>
      <bottom style="dashed">
        <color theme="1"/>
      </bottom>
      <diagonal/>
    </border>
    <border>
      <left/>
      <right style="thin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/>
      <top style="dashed">
        <color theme="1"/>
      </top>
      <bottom style="dashed">
        <color theme="1"/>
      </bottom>
      <diagonal/>
    </border>
    <border>
      <left/>
      <right/>
      <top style="dashed">
        <color theme="1"/>
      </top>
      <bottom style="dashed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 style="medium">
        <color theme="1"/>
      </right>
      <top/>
      <bottom style="dashed">
        <color theme="1"/>
      </bottom>
      <diagonal/>
    </border>
    <border>
      <left style="medium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dashed">
        <color theme="1"/>
      </top>
      <bottom/>
      <diagonal/>
    </border>
    <border>
      <left style="thin">
        <color theme="1"/>
      </left>
      <right style="thin">
        <color theme="1"/>
      </right>
      <top/>
      <bottom style="dashed">
        <color theme="1"/>
      </bottom>
      <diagonal/>
    </border>
    <border>
      <left/>
      <right style="thin">
        <color theme="1"/>
      </right>
      <top/>
      <bottom style="dashed">
        <color theme="1"/>
      </bottom>
      <diagonal/>
    </border>
    <border>
      <left/>
      <right style="medium">
        <color theme="1"/>
      </right>
      <top/>
      <bottom style="dashed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theme="1"/>
      </left>
      <right style="thin">
        <color theme="1"/>
      </right>
      <top style="dashed">
        <color indexed="64"/>
      </top>
      <bottom style="medium">
        <color indexed="64"/>
      </bottom>
      <diagonal/>
    </border>
    <border>
      <left/>
      <right style="medium">
        <color theme="1"/>
      </right>
      <top style="dashed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dashed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dashed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dashed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indexed="64"/>
      </top>
      <bottom style="dashed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dashed">
        <color theme="1"/>
      </bottom>
      <diagonal/>
    </border>
    <border>
      <left/>
      <right/>
      <top style="medium">
        <color indexed="64"/>
      </top>
      <bottom style="dashed">
        <color theme="1"/>
      </bottom>
      <diagonal/>
    </border>
    <border>
      <left/>
      <right style="thin">
        <color theme="1"/>
      </right>
      <top style="medium">
        <color indexed="64"/>
      </top>
      <bottom style="dashed">
        <color theme="1"/>
      </bottom>
      <diagonal/>
    </border>
    <border>
      <left/>
      <right style="medium">
        <color theme="1"/>
      </right>
      <top style="medium">
        <color indexed="64"/>
      </top>
      <bottom style="dashed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dashed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dashed">
        <color theme="1"/>
      </top>
      <bottom style="medium">
        <color indexed="64"/>
      </bottom>
      <diagonal/>
    </border>
    <border>
      <left/>
      <right/>
      <top style="dashed">
        <color theme="1"/>
      </top>
      <bottom style="medium">
        <color indexed="64"/>
      </bottom>
      <diagonal/>
    </border>
    <border>
      <left/>
      <right style="thin">
        <color theme="1"/>
      </right>
      <top style="dashed">
        <color theme="1"/>
      </top>
      <bottom style="medium">
        <color indexed="64"/>
      </bottom>
      <diagonal/>
    </border>
    <border>
      <left/>
      <right style="medium">
        <color theme="1"/>
      </right>
      <top style="dashed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dashed">
        <color theme="1"/>
      </top>
      <bottom style="medium">
        <color indexed="64"/>
      </bottom>
      <diagonal/>
    </border>
    <border>
      <left style="medium">
        <color theme="1"/>
      </left>
      <right/>
      <top/>
      <bottom style="dashed">
        <color theme="1"/>
      </bottom>
      <diagonal/>
    </border>
    <border>
      <left/>
      <right/>
      <top/>
      <bottom style="dashed">
        <color theme="1"/>
      </bottom>
      <diagonal/>
    </border>
    <border>
      <left style="thin">
        <color theme="1"/>
      </left>
      <right style="medium">
        <color theme="1"/>
      </right>
      <top style="dashed">
        <color theme="1"/>
      </top>
      <bottom style="dashed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dashed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dashed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dashed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dotted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dott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ott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A9A9A9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indexed="64"/>
      </bottom>
      <diagonal/>
    </border>
    <border>
      <left/>
      <right style="thin">
        <color indexed="64"/>
      </right>
      <top style="thick">
        <color auto="1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 style="double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 style="medium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medium">
        <color rgb="FFA9A9A9"/>
      </left>
      <right/>
      <top/>
      <bottom style="thin">
        <color rgb="FFA9A9A9"/>
      </bottom>
      <diagonal/>
    </border>
    <border>
      <left style="medium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medium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rgb="FFA9A9A9"/>
      </left>
      <right style="medium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  <border>
      <left style="thin">
        <color rgb="FFA9A9A9"/>
      </left>
      <right style="medium">
        <color rgb="FFA9A9A9"/>
      </right>
      <top style="thin">
        <color rgb="FFA9A9A9"/>
      </top>
      <bottom/>
      <diagonal/>
    </border>
    <border>
      <left style="medium">
        <color rgb="FFA9A9A9"/>
      </left>
      <right style="medium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 style="medium">
        <color rgb="FFA9A9A9"/>
      </right>
      <top/>
      <bottom style="thin">
        <color rgb="FFA9A9A9"/>
      </bottom>
      <diagonal/>
    </border>
    <border>
      <left style="medium">
        <color rgb="FFA9A9A9"/>
      </left>
      <right style="medium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medium">
        <color rgb="FFA9A9A9"/>
      </left>
      <right style="thin">
        <color rgb="FFA9A9A9"/>
      </right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medium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ck">
        <color rgb="FFA9A9A9"/>
      </left>
      <right/>
      <top style="thin">
        <color rgb="FFA9A9A9"/>
      </top>
      <bottom style="thin">
        <color rgb="FFA9A9A9"/>
      </bottom>
      <diagonal/>
    </border>
    <border>
      <left style="thick">
        <color rgb="FFA9A9A9"/>
      </left>
      <right/>
      <top/>
      <bottom style="thin">
        <color rgb="FFA9A9A9"/>
      </bottom>
      <diagonal/>
    </border>
    <border>
      <left style="thick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medium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indexed="64"/>
      </bottom>
      <diagonal/>
    </border>
    <border>
      <left style="thin">
        <color indexed="64"/>
      </left>
      <right style="thin">
        <color rgb="FFA9A9A9"/>
      </right>
      <top style="thin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indexed="64"/>
      </top>
      <bottom style="thin">
        <color rgb="FFA9A9A9"/>
      </bottom>
      <diagonal/>
    </border>
    <border>
      <left style="thin">
        <color rgb="FFA9A9A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A9A9A9"/>
      </right>
      <top style="thin">
        <color rgb="FFA9A9A9"/>
      </top>
      <bottom style="thin">
        <color indexed="64"/>
      </bottom>
      <diagonal/>
    </border>
    <border>
      <left style="thin">
        <color rgb="FFA9A9A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A9A9A9"/>
      </right>
      <top/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indexed="64"/>
      </left>
      <right style="thin">
        <color rgb="FFA9A9A9"/>
      </right>
      <top/>
      <bottom style="thin">
        <color rgb="FFA9A9A9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A9A9A9"/>
      </left>
      <right/>
      <top/>
      <bottom/>
      <diagonal/>
    </border>
    <border>
      <left style="thin">
        <color rgb="FFA9A9A9"/>
      </left>
      <right style="medium">
        <color rgb="FFA9A9A9"/>
      </right>
      <top/>
      <bottom/>
      <diagonal/>
    </border>
    <border>
      <left style="medium">
        <color rgb="FFA9A9A9"/>
      </left>
      <right/>
      <top/>
      <bottom/>
      <diagonal/>
    </border>
    <border>
      <left style="medium">
        <color rgb="FFA9A9A9"/>
      </left>
      <right style="medium">
        <color rgb="FFA9A9A9"/>
      </right>
      <top/>
      <bottom/>
      <diagonal/>
    </border>
    <border>
      <left/>
      <right/>
      <top style="thin">
        <color rgb="FFA9A9A9"/>
      </top>
      <bottom/>
      <diagonal/>
    </border>
    <border>
      <left style="medium">
        <color rgb="FFA9A9A9"/>
      </left>
      <right style="thin">
        <color rgb="FFA9A9A9"/>
      </right>
      <top/>
      <bottom/>
      <diagonal/>
    </border>
    <border>
      <left/>
      <right style="thin">
        <color rgb="FFA9A9A9"/>
      </right>
      <top/>
      <bottom/>
      <diagonal/>
    </border>
    <border>
      <left/>
      <right/>
      <top style="thick">
        <color auto="1"/>
      </top>
      <bottom/>
      <diagonal/>
    </border>
    <border>
      <left/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auto="1"/>
      </bottom>
      <diagonal/>
    </border>
    <border>
      <left/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A9A9A9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/>
    <xf numFmtId="9" fontId="1" fillId="0" borderId="0"/>
    <xf numFmtId="0" fontId="1" fillId="0" borderId="0"/>
    <xf numFmtId="43" fontId="1" fillId="0" borderId="0"/>
  </cellStyleXfs>
  <cellXfs count="1778">
    <xf numFmtId="0" fontId="0" fillId="0" borderId="0" pivotButton="0" quotePrefix="0" xfId="0"/>
    <xf numFmtId="164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49" fontId="12" fillId="5" borderId="51" applyAlignment="1" pivotButton="0" quotePrefix="0" xfId="0">
      <alignment horizontal="center" vertical="center" wrapText="1"/>
    </xf>
    <xf numFmtId="49" fontId="12" fillId="5" borderId="1" applyAlignment="1" pivotButton="0" quotePrefix="0" xfId="0">
      <alignment horizontal="center" vertical="center" wrapText="1"/>
    </xf>
    <xf numFmtId="49" fontId="12" fillId="5" borderId="2" applyAlignment="1" pivotButton="0" quotePrefix="0" xfId="0">
      <alignment horizontal="center" vertical="center" wrapText="1"/>
    </xf>
    <xf numFmtId="49" fontId="12" fillId="5" borderId="38" applyAlignment="1" pivotButton="0" quotePrefix="0" xfId="0">
      <alignment horizontal="center" vertical="center" wrapText="1"/>
    </xf>
    <xf numFmtId="49" fontId="12" fillId="5" borderId="37" applyAlignment="1" pivotButton="0" quotePrefix="0" xfId="0">
      <alignment horizontal="center" vertical="center" wrapText="1"/>
    </xf>
    <xf numFmtId="49" fontId="6" fillId="5" borderId="37" applyAlignment="1" pivotButton="0" quotePrefix="0" xfId="0">
      <alignment horizontal="center" vertical="center" wrapText="1"/>
    </xf>
    <xf numFmtId="3" fontId="12" fillId="5" borderId="38" applyAlignment="1" pivotButton="0" quotePrefix="0" xfId="0">
      <alignment horizontal="center" vertical="center" wrapText="1"/>
    </xf>
    <xf numFmtId="3" fontId="12" fillId="5" borderId="39" applyAlignment="1" pivotButton="0" quotePrefix="0" xfId="0">
      <alignment horizontal="center" vertical="center" wrapText="1"/>
    </xf>
    <xf numFmtId="3" fontId="6" fillId="5" borderId="37" applyAlignment="1" pivotButton="0" quotePrefix="0" xfId="0">
      <alignment horizontal="center" vertical="center" wrapText="1"/>
    </xf>
    <xf numFmtId="3" fontId="12" fillId="5" borderId="37" applyAlignment="1" pivotButton="0" quotePrefix="0" xfId="0">
      <alignment horizontal="center" vertical="center" wrapText="1"/>
    </xf>
    <xf numFmtId="3" fontId="12" fillId="5" borderId="52" applyAlignment="1" pivotButton="0" quotePrefix="0" xfId="0">
      <alignment horizontal="center" vertical="center" wrapText="1"/>
    </xf>
    <xf numFmtId="49" fontId="14" fillId="9" borderId="25" applyAlignment="1" pivotButton="0" quotePrefix="0" xfId="0">
      <alignment horizontal="center" vertical="center" wrapText="1"/>
    </xf>
    <xf numFmtId="49" fontId="14" fillId="9" borderId="21" applyAlignment="1" pivotButton="0" quotePrefix="0" xfId="0">
      <alignment horizontal="center" vertical="center" wrapText="1"/>
    </xf>
    <xf numFmtId="49" fontId="14" fillId="9" borderId="26" applyAlignment="1" pivotButton="0" quotePrefix="0" xfId="0">
      <alignment horizontal="center" vertical="center" wrapText="1"/>
    </xf>
    <xf numFmtId="49" fontId="14" fillId="2" borderId="21" applyAlignment="1" pivotButton="0" quotePrefix="0" xfId="0">
      <alignment horizontal="center" vertical="center" wrapText="1"/>
    </xf>
    <xf numFmtId="49" fontId="6" fillId="2" borderId="21" applyAlignment="1" pivotButton="0" quotePrefix="0" xfId="0">
      <alignment horizontal="center" vertical="center" wrapText="1"/>
    </xf>
    <xf numFmtId="49" fontId="7" fillId="2" borderId="21" applyAlignment="1" pivotButton="0" quotePrefix="0" xfId="0">
      <alignment horizontal="center" vertical="center" wrapText="1"/>
    </xf>
    <xf numFmtId="49" fontId="6" fillId="2" borderId="22" applyAlignment="1" pivotButton="0" quotePrefix="0" xfId="0">
      <alignment horizontal="center" vertical="center" wrapText="1"/>
    </xf>
    <xf numFmtId="166" fontId="6" fillId="2" borderId="26" applyAlignment="1" pivotButton="0" quotePrefix="0" xfId="0">
      <alignment horizontal="center" vertical="center" wrapText="1"/>
    </xf>
    <xf numFmtId="49" fontId="12" fillId="9" borderId="21" applyAlignment="1" pivotButton="0" quotePrefix="0" xfId="0">
      <alignment horizontal="center" vertical="center" wrapText="1"/>
    </xf>
    <xf numFmtId="167" fontId="6" fillId="2" borderId="22" applyAlignment="1" pivotButton="0" quotePrefix="0" xfId="0">
      <alignment horizontal="center" vertical="center" wrapText="1"/>
    </xf>
    <xf numFmtId="3" fontId="6" fillId="2" borderId="22" applyAlignment="1" pivotButton="0" quotePrefix="0" xfId="0">
      <alignment horizontal="center" vertical="center" wrapText="1"/>
    </xf>
    <xf numFmtId="3" fontId="12" fillId="10" borderId="22" applyAlignment="1" pivotButton="0" quotePrefix="0" xfId="0">
      <alignment horizontal="center" vertical="center" wrapText="1"/>
    </xf>
    <xf numFmtId="3" fontId="12" fillId="10" borderId="23" applyAlignment="1" pivotButton="0" quotePrefix="0" xfId="0">
      <alignment horizontal="center" vertical="center" wrapText="1"/>
    </xf>
    <xf numFmtId="3" fontId="12" fillId="10" borderId="63" applyAlignment="1" pivotButton="0" quotePrefix="0" xfId="0">
      <alignment horizontal="center" vertical="center" wrapText="1"/>
    </xf>
    <xf numFmtId="49" fontId="14" fillId="9" borderId="3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9" borderId="33" applyAlignment="1" pivotButton="0" quotePrefix="0" xfId="0">
      <alignment horizontal="center" vertical="center" wrapText="1"/>
    </xf>
    <xf numFmtId="49" fontId="14" fillId="2" borderId="12" applyAlignment="1" pivotButton="0" quotePrefix="0" xfId="0">
      <alignment horizontal="center" vertical="center" wrapText="1"/>
    </xf>
    <xf numFmtId="49" fontId="6" fillId="2" borderId="12" applyAlignment="1" pivotButton="0" quotePrefix="0" xfId="0">
      <alignment horizontal="center" vertical="center" wrapText="1"/>
    </xf>
    <xf numFmtId="49" fontId="7" fillId="2" borderId="12" applyAlignment="1" pivotButton="0" quotePrefix="0" xfId="0">
      <alignment horizontal="center" vertical="center" wrapText="1"/>
    </xf>
    <xf numFmtId="49" fontId="6" fillId="2" borderId="34" applyAlignment="1" pivotButton="0" quotePrefix="0" xfId="0">
      <alignment horizontal="center" vertical="center" wrapText="1"/>
    </xf>
    <xf numFmtId="166" fontId="6" fillId="2" borderId="33" applyAlignment="1" pivotButton="0" quotePrefix="0" xfId="0">
      <alignment horizontal="center" vertical="center" wrapText="1"/>
    </xf>
    <xf numFmtId="49" fontId="12" fillId="9" borderId="12" applyAlignment="1" pivotButton="0" quotePrefix="0" xfId="0">
      <alignment horizontal="center" vertical="center" wrapText="1"/>
    </xf>
    <xf numFmtId="167" fontId="6" fillId="2" borderId="34" applyAlignment="1" pivotButton="0" quotePrefix="0" xfId="0">
      <alignment horizontal="center" vertical="center" wrapText="1"/>
    </xf>
    <xf numFmtId="3" fontId="6" fillId="2" borderId="34" applyAlignment="1" pivotButton="0" quotePrefix="0" xfId="0">
      <alignment horizontal="center" vertical="center" wrapText="1"/>
    </xf>
    <xf numFmtId="3" fontId="12" fillId="10" borderId="34" applyAlignment="1" pivotButton="0" quotePrefix="0" xfId="0">
      <alignment horizontal="center" vertical="center" wrapText="1"/>
    </xf>
    <xf numFmtId="3" fontId="12" fillId="10" borderId="31" applyAlignment="1" pivotButton="0" quotePrefix="0" xfId="0">
      <alignment horizontal="center" vertical="center" wrapText="1"/>
    </xf>
    <xf numFmtId="3" fontId="12" fillId="10" borderId="60" applyAlignment="1" pivotButton="0" quotePrefix="0" xfId="0">
      <alignment horizontal="center" vertical="center" wrapText="1"/>
    </xf>
    <xf numFmtId="3" fontId="12" fillId="10" borderId="15" applyAlignment="1" pivotButton="0" quotePrefix="0" xfId="0">
      <alignment horizontal="center" vertical="center" wrapText="1"/>
    </xf>
    <xf numFmtId="3" fontId="12" fillId="10" borderId="16" applyAlignment="1" pivotButton="0" quotePrefix="0" xfId="0">
      <alignment horizontal="center" vertical="center" wrapText="1"/>
    </xf>
    <xf numFmtId="49" fontId="14" fillId="9" borderId="35" applyAlignment="1" pivotButton="0" quotePrefix="0" xfId="0">
      <alignment horizontal="center" vertical="center" wrapText="1"/>
    </xf>
    <xf numFmtId="49" fontId="14" fillId="9" borderId="14" applyAlignment="1" pivotButton="0" quotePrefix="0" xfId="0">
      <alignment horizontal="center" vertical="center" wrapText="1"/>
    </xf>
    <xf numFmtId="49" fontId="14" fillId="9" borderId="36" applyAlignment="1" pivotButton="0" quotePrefix="0" xfId="0">
      <alignment horizontal="center" vertical="center" wrapText="1"/>
    </xf>
    <xf numFmtId="49" fontId="14" fillId="2" borderId="14" applyAlignment="1" pivotButton="0" quotePrefix="0" xfId="0">
      <alignment horizontal="center" vertical="center" wrapText="1"/>
    </xf>
    <xf numFmtId="49" fontId="6" fillId="2" borderId="14" applyAlignment="1" pivotButton="0" quotePrefix="0" xfId="0">
      <alignment horizontal="center" vertical="center" wrapText="1"/>
    </xf>
    <xf numFmtId="49" fontId="7" fillId="2" borderId="14" applyAlignment="1" pivotButton="0" quotePrefix="0" xfId="0">
      <alignment horizontal="center" vertical="center" wrapText="1"/>
    </xf>
    <xf numFmtId="49" fontId="6" fillId="2" borderId="15" applyAlignment="1" pivotButton="0" quotePrefix="0" xfId="0">
      <alignment horizontal="center" vertical="center" wrapText="1"/>
    </xf>
    <xf numFmtId="166" fontId="6" fillId="2" borderId="36" applyAlignment="1" pivotButton="0" quotePrefix="0" xfId="0">
      <alignment horizontal="center" vertical="center" wrapText="1"/>
    </xf>
    <xf numFmtId="49" fontId="12" fillId="9" borderId="14" applyAlignment="1" pivotButton="0" quotePrefix="0" xfId="0">
      <alignment horizontal="center" vertical="center" wrapText="1"/>
    </xf>
    <xf numFmtId="167" fontId="6" fillId="2" borderId="15" applyAlignment="1" pivotButton="0" quotePrefix="0" xfId="0">
      <alignment horizontal="center" vertical="center" wrapText="1"/>
    </xf>
    <xf numFmtId="3" fontId="6" fillId="2" borderId="15" applyAlignment="1" pivotButton="0" quotePrefix="0" xfId="0">
      <alignment horizontal="center" vertical="center" wrapText="1"/>
    </xf>
    <xf numFmtId="49" fontId="13" fillId="2" borderId="53" applyAlignment="1" pivotButton="0" quotePrefix="0" xfId="0">
      <alignment horizontal="center" vertical="center"/>
    </xf>
    <xf numFmtId="49" fontId="14" fillId="9" borderId="29" applyAlignment="1" pivotButton="0" quotePrefix="0" xfId="0">
      <alignment horizontal="center" vertical="center" wrapText="1"/>
    </xf>
    <xf numFmtId="49" fontId="14" fillId="9" borderId="17" applyAlignment="1" pivotButton="0" quotePrefix="0" xfId="0">
      <alignment horizontal="center" vertical="center" wrapText="1"/>
    </xf>
    <xf numFmtId="49" fontId="14" fillId="9" borderId="30" applyAlignment="1" pivotButton="0" quotePrefix="0" xfId="0">
      <alignment horizontal="center" vertical="center" wrapText="1"/>
    </xf>
    <xf numFmtId="49" fontId="14" fillId="2" borderId="17" applyAlignment="1" pivotButton="0" quotePrefix="0" xfId="0">
      <alignment horizontal="center" vertical="center" wrapText="1"/>
    </xf>
    <xf numFmtId="49" fontId="6" fillId="2" borderId="17" applyAlignment="1" pivotButton="0" quotePrefix="0" xfId="0">
      <alignment horizontal="center" vertical="center" wrapText="1"/>
    </xf>
    <xf numFmtId="49" fontId="7" fillId="2" borderId="17" applyAlignment="1" pivotButton="0" quotePrefix="0" xfId="0">
      <alignment horizontal="center" vertical="center" wrapText="1"/>
    </xf>
    <xf numFmtId="49" fontId="6" fillId="2" borderId="18" applyAlignment="1" pivotButton="0" quotePrefix="0" xfId="0">
      <alignment horizontal="center" vertical="center" wrapText="1"/>
    </xf>
    <xf numFmtId="166" fontId="6" fillId="2" borderId="30" applyAlignment="1" pivotButton="0" quotePrefix="0" xfId="0">
      <alignment horizontal="center" vertical="center" wrapText="1"/>
    </xf>
    <xf numFmtId="49" fontId="12" fillId="9" borderId="17" applyAlignment="1" pivotButton="0" quotePrefix="0" xfId="0">
      <alignment horizontal="center" vertical="center" wrapText="1"/>
    </xf>
    <xf numFmtId="167" fontId="6" fillId="2" borderId="18" applyAlignment="1" pivotButton="0" quotePrefix="0" xfId="0">
      <alignment horizontal="center" vertical="center" wrapText="1"/>
    </xf>
    <xf numFmtId="3" fontId="6" fillId="2" borderId="18" applyAlignment="1" pivotButton="0" quotePrefix="0" xfId="0">
      <alignment horizontal="center" vertical="center" wrapText="1"/>
    </xf>
    <xf numFmtId="3" fontId="12" fillId="10" borderId="18" applyAlignment="1" pivotButton="0" quotePrefix="0" xfId="0">
      <alignment horizontal="center" vertical="center" wrapText="1"/>
    </xf>
    <xf numFmtId="3" fontId="12" fillId="10" borderId="19" applyAlignment="1" pivotButton="0" quotePrefix="0" xfId="0">
      <alignment horizontal="center" vertical="center" wrapText="1"/>
    </xf>
    <xf numFmtId="3" fontId="12" fillId="10" borderId="62" applyAlignment="1" pivotButton="0" quotePrefix="0" xfId="0">
      <alignment horizontal="center" vertical="center" wrapText="1"/>
    </xf>
    <xf numFmtId="3" fontId="12" fillId="10" borderId="59" applyAlignment="1" pivotButton="0" quotePrefix="0" xfId="0">
      <alignment horizontal="center" vertical="center" wrapText="1"/>
    </xf>
    <xf numFmtId="49" fontId="14" fillId="9" borderId="82" applyAlignment="1" pivotButton="0" quotePrefix="0" xfId="0">
      <alignment horizontal="center" vertical="center" wrapText="1"/>
    </xf>
    <xf numFmtId="49" fontId="14" fillId="9" borderId="83" applyAlignment="1" pivotButton="0" quotePrefix="0" xfId="0">
      <alignment horizontal="center" vertical="center" wrapText="1"/>
    </xf>
    <xf numFmtId="49" fontId="14" fillId="9" borderId="84" applyAlignment="1" pivotButton="0" quotePrefix="0" xfId="0">
      <alignment horizontal="center" vertical="center" wrapText="1"/>
    </xf>
    <xf numFmtId="49" fontId="14" fillId="2" borderId="83" applyAlignment="1" pivotButton="0" quotePrefix="0" xfId="0">
      <alignment horizontal="center" vertical="center" wrapText="1"/>
    </xf>
    <xf numFmtId="49" fontId="6" fillId="2" borderId="83" applyAlignment="1" pivotButton="0" quotePrefix="0" xfId="0">
      <alignment horizontal="center" vertical="center" wrapText="1"/>
    </xf>
    <xf numFmtId="49" fontId="7" fillId="2" borderId="83" applyAlignment="1" pivotButton="0" quotePrefix="0" xfId="0">
      <alignment horizontal="center" vertical="center" wrapText="1"/>
    </xf>
    <xf numFmtId="49" fontId="6" fillId="2" borderId="85" applyAlignment="1" pivotButton="0" quotePrefix="0" xfId="0">
      <alignment horizontal="center" vertical="center" wrapText="1"/>
    </xf>
    <xf numFmtId="166" fontId="6" fillId="2" borderId="84" applyAlignment="1" pivotButton="0" quotePrefix="0" xfId="0">
      <alignment horizontal="center" vertical="center" wrapText="1"/>
    </xf>
    <xf numFmtId="49" fontId="12" fillId="9" borderId="83" applyAlignment="1" pivotButton="0" quotePrefix="0" xfId="0">
      <alignment horizontal="center" vertical="center" wrapText="1"/>
    </xf>
    <xf numFmtId="167" fontId="6" fillId="2" borderId="85" applyAlignment="1" pivotButton="0" quotePrefix="0" xfId="0">
      <alignment horizontal="center" vertical="center" wrapText="1"/>
    </xf>
    <xf numFmtId="3" fontId="6" fillId="2" borderId="85" applyAlignment="1" pivotButton="0" quotePrefix="0" xfId="0">
      <alignment horizontal="center" vertical="center" wrapText="1"/>
    </xf>
    <xf numFmtId="3" fontId="12" fillId="10" borderId="85" applyAlignment="1" pivotButton="0" quotePrefix="0" xfId="0">
      <alignment horizontal="center" vertical="center" wrapText="1"/>
    </xf>
    <xf numFmtId="3" fontId="12" fillId="10" borderId="86" applyAlignment="1" pivotButton="0" quotePrefix="0" xfId="0">
      <alignment horizontal="center" vertical="center" wrapText="1"/>
    </xf>
    <xf numFmtId="49" fontId="14" fillId="9" borderId="64" applyAlignment="1" pivotButton="0" quotePrefix="0" xfId="0">
      <alignment horizontal="center" vertical="center" wrapText="1"/>
    </xf>
    <xf numFmtId="49" fontId="14" fillId="2" borderId="64" applyAlignment="1" pivotButton="0" quotePrefix="0" xfId="0">
      <alignment horizontal="center" vertical="center" wrapText="1"/>
    </xf>
    <xf numFmtId="49" fontId="6" fillId="2" borderId="65" applyAlignment="1" pivotButton="0" quotePrefix="0" xfId="0">
      <alignment horizontal="center" vertical="center" wrapText="1"/>
    </xf>
    <xf numFmtId="166" fontId="6" fillId="2" borderId="96" applyAlignment="1" pivotButton="0" quotePrefix="0" xfId="0">
      <alignment horizontal="center" vertical="center" wrapText="1"/>
    </xf>
    <xf numFmtId="49" fontId="12" fillId="9" borderId="64" applyAlignment="1" pivotButton="0" quotePrefix="0" xfId="0">
      <alignment horizontal="center" vertical="center" wrapText="1"/>
    </xf>
    <xf numFmtId="167" fontId="6" fillId="2" borderId="65" applyAlignment="1" pivotButton="0" quotePrefix="0" xfId="0">
      <alignment horizontal="center" vertical="center" wrapText="1"/>
    </xf>
    <xf numFmtId="3" fontId="6" fillId="2" borderId="65" applyAlignment="1" pivotButton="0" quotePrefix="0" xfId="0">
      <alignment horizontal="center" vertical="center" wrapText="1"/>
    </xf>
    <xf numFmtId="49" fontId="14" fillId="9" borderId="89" applyAlignment="1" pivotButton="0" quotePrefix="0" xfId="0">
      <alignment horizontal="center" vertical="center" wrapText="1"/>
    </xf>
    <xf numFmtId="49" fontId="14" fillId="9" borderId="90" applyAlignment="1" pivotButton="0" quotePrefix="0" xfId="0">
      <alignment horizontal="center" vertical="center" wrapText="1"/>
    </xf>
    <xf numFmtId="49" fontId="14" fillId="9" borderId="91" applyAlignment="1" pivotButton="0" quotePrefix="0" xfId="0">
      <alignment horizontal="center" vertical="center" wrapText="1"/>
    </xf>
    <xf numFmtId="49" fontId="14" fillId="2" borderId="90" applyAlignment="1" pivotButton="0" quotePrefix="0" xfId="0">
      <alignment horizontal="center" vertical="center" wrapText="1"/>
    </xf>
    <xf numFmtId="49" fontId="6" fillId="2" borderId="90" applyAlignment="1" pivotButton="0" quotePrefix="0" xfId="0">
      <alignment horizontal="center" vertical="center" wrapText="1"/>
    </xf>
    <xf numFmtId="49" fontId="7" fillId="2" borderId="90" applyAlignment="1" pivotButton="0" quotePrefix="0" xfId="0">
      <alignment horizontal="center" vertical="center" wrapText="1"/>
    </xf>
    <xf numFmtId="49" fontId="6" fillId="2" borderId="92" applyAlignment="1" pivotButton="0" quotePrefix="0" xfId="0">
      <alignment horizontal="center" vertical="center" wrapText="1"/>
    </xf>
    <xf numFmtId="166" fontId="6" fillId="2" borderId="91" applyAlignment="1" pivotButton="0" quotePrefix="0" xfId="0">
      <alignment horizontal="center" vertical="center" wrapText="1"/>
    </xf>
    <xf numFmtId="49" fontId="12" fillId="9" borderId="90" applyAlignment="1" pivotButton="0" quotePrefix="0" xfId="0">
      <alignment horizontal="center" vertical="center" wrapText="1"/>
    </xf>
    <xf numFmtId="167" fontId="6" fillId="2" borderId="92" applyAlignment="1" pivotButton="0" quotePrefix="0" xfId="0">
      <alignment horizontal="center" vertical="center" wrapText="1"/>
    </xf>
    <xf numFmtId="3" fontId="6" fillId="2" borderId="92" applyAlignment="1" pivotButton="0" quotePrefix="0" xfId="0">
      <alignment horizontal="center" vertical="center" wrapText="1"/>
    </xf>
    <xf numFmtId="3" fontId="12" fillId="10" borderId="92" applyAlignment="1" pivotButton="0" quotePrefix="0" xfId="0">
      <alignment horizontal="center" vertical="center" wrapText="1"/>
    </xf>
    <xf numFmtId="3" fontId="12" fillId="10" borderId="93" applyAlignment="1" pivotButton="0" quotePrefix="0" xfId="0">
      <alignment horizontal="center" vertical="center" wrapText="1"/>
    </xf>
    <xf numFmtId="3" fontId="12" fillId="10" borderId="94" applyAlignment="1" pivotButton="0" quotePrefix="0" xfId="0">
      <alignment horizontal="center" vertical="center" wrapText="1"/>
    </xf>
    <xf numFmtId="49" fontId="14" fillId="14" borderId="35" applyAlignment="1" pivotButton="0" quotePrefix="0" xfId="0">
      <alignment horizontal="center" vertical="center" wrapText="1"/>
    </xf>
    <xf numFmtId="49" fontId="6" fillId="14" borderId="15" applyAlignment="1" pivotButton="0" quotePrefix="0" xfId="0">
      <alignment horizontal="center" vertical="center" wrapText="1"/>
    </xf>
    <xf numFmtId="49" fontId="14" fillId="14" borderId="25" applyAlignment="1" pivotButton="0" quotePrefix="0" xfId="0">
      <alignment horizontal="center" vertical="center" wrapText="1"/>
    </xf>
    <xf numFmtId="49" fontId="6" fillId="14" borderId="22" applyAlignment="1" pivotButton="0" quotePrefix="0" xfId="0">
      <alignment horizontal="center" vertical="center" wrapText="1"/>
    </xf>
    <xf numFmtId="49" fontId="14" fillId="2" borderId="25" applyAlignment="1" pivotButton="0" quotePrefix="0" xfId="0">
      <alignment horizontal="center" vertical="center" wrapText="1"/>
    </xf>
    <xf numFmtId="167" fontId="6" fillId="16" borderId="15" applyAlignment="1" pivotButton="0" quotePrefix="0" xfId="0">
      <alignment horizontal="center" vertical="center" wrapText="1"/>
    </xf>
    <xf numFmtId="49" fontId="14" fillId="2" borderId="14" applyAlignment="1" pivotButton="0" quotePrefix="1" xfId="0">
      <alignment horizontal="center" vertical="center" wrapText="1"/>
    </xf>
    <xf numFmtId="49" fontId="14" fillId="2" borderId="32" applyAlignment="1" pivotButton="0" quotePrefix="0" xfId="0">
      <alignment horizontal="center" vertical="center" wrapText="1"/>
    </xf>
    <xf numFmtId="49" fontId="14" fillId="14" borderId="14" applyAlignment="1" pivotButton="0" quotePrefix="0" xfId="0">
      <alignment horizontal="center" vertical="center" wrapText="1"/>
    </xf>
    <xf numFmtId="49" fontId="14" fillId="2" borderId="95" applyAlignment="1" pivotButton="0" quotePrefix="0" xfId="0">
      <alignment horizontal="center" vertical="center" wrapText="1"/>
    </xf>
    <xf numFmtId="49" fontId="6" fillId="2" borderId="64" applyAlignment="1" pivotButton="0" quotePrefix="0" xfId="0">
      <alignment horizontal="center" vertical="center" wrapText="1"/>
    </xf>
    <xf numFmtId="3" fontId="12" fillId="10" borderId="65" applyAlignment="1" pivotButton="0" quotePrefix="0" xfId="0">
      <alignment horizontal="center" vertical="center" wrapText="1"/>
    </xf>
    <xf numFmtId="3" fontId="12" fillId="10" borderId="66" applyAlignment="1" pivotButton="0" quotePrefix="0" xfId="0">
      <alignment horizontal="center" vertical="center" wrapText="1"/>
    </xf>
    <xf numFmtId="49" fontId="14" fillId="2" borderId="35" applyAlignment="1" pivotButton="0" quotePrefix="0" xfId="0">
      <alignment horizontal="center" vertical="center" wrapText="1"/>
    </xf>
    <xf numFmtId="49" fontId="14" fillId="2" borderId="29" applyAlignment="1" pivotButton="0" quotePrefix="0" xfId="0">
      <alignment horizontal="center" vertical="center" wrapText="1"/>
    </xf>
    <xf numFmtId="49" fontId="14" fillId="9" borderId="5" applyAlignment="1" pivotButton="0" quotePrefix="0" xfId="0">
      <alignment horizontal="center" vertical="center" wrapText="1"/>
    </xf>
    <xf numFmtId="49" fontId="14" fillId="2" borderId="5" applyAlignment="1" pivotButton="0" quotePrefix="0" xfId="0">
      <alignment horizontal="center" vertical="center" wrapText="1"/>
    </xf>
    <xf numFmtId="49" fontId="6" fillId="2" borderId="5" applyAlignment="1" pivotButton="0" quotePrefix="0" xfId="0">
      <alignment horizontal="center" vertical="center" wrapText="1"/>
    </xf>
    <xf numFmtId="166" fontId="6" fillId="2" borderId="0" applyAlignment="1" pivotButton="0" quotePrefix="0" xfId="0">
      <alignment horizontal="center" vertical="center" wrapText="1"/>
    </xf>
    <xf numFmtId="49" fontId="12" fillId="9" borderId="5" applyAlignment="1" pivotButton="0" quotePrefix="0" xfId="0">
      <alignment horizontal="center" vertical="center" wrapText="1"/>
    </xf>
    <xf numFmtId="167" fontId="6" fillId="2" borderId="7" applyAlignment="1" pivotButton="0" quotePrefix="0" xfId="0">
      <alignment horizontal="center" vertical="center" wrapText="1"/>
    </xf>
    <xf numFmtId="3" fontId="6" fillId="2" borderId="7" applyAlignment="1" pivotButton="0" quotePrefix="0" xfId="0">
      <alignment horizontal="center" vertical="center" wrapText="1"/>
    </xf>
    <xf numFmtId="3" fontId="12" fillId="10" borderId="58" applyAlignment="1" pivotButton="0" quotePrefix="0" xfId="0">
      <alignment horizontal="center" vertical="center" wrapText="1"/>
    </xf>
    <xf numFmtId="49" fontId="14" fillId="14" borderId="32" applyAlignment="1" pivotButton="0" quotePrefix="0" xfId="0">
      <alignment horizontal="center" vertical="center" wrapText="1"/>
    </xf>
    <xf numFmtId="49" fontId="14" fillId="2" borderId="33" applyAlignment="1" pivotButton="0" quotePrefix="0" xfId="0">
      <alignment horizontal="center" vertical="center" wrapText="1"/>
    </xf>
    <xf numFmtId="49" fontId="6" fillId="14" borderId="34" applyAlignment="1" pivotButton="0" quotePrefix="0" xfId="0">
      <alignment horizontal="center" vertical="center" wrapText="1"/>
    </xf>
    <xf numFmtId="49" fontId="12" fillId="2" borderId="12" applyAlignment="1" pivotButton="0" quotePrefix="0" xfId="0">
      <alignment horizontal="center" vertical="center" wrapText="1"/>
    </xf>
    <xf numFmtId="49" fontId="14" fillId="2" borderId="36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4" fillId="14" borderId="95" applyAlignment="1" pivotButton="0" quotePrefix="0" xfId="0">
      <alignment horizontal="center" vertical="center" wrapText="1"/>
    </xf>
    <xf numFmtId="49" fontId="14" fillId="2" borderId="96" applyAlignment="1" pivotButton="0" quotePrefix="0" xfId="0">
      <alignment horizontal="center" vertical="center" wrapText="1"/>
    </xf>
    <xf numFmtId="49" fontId="6" fillId="14" borderId="65" applyAlignment="1" pivotButton="0" quotePrefix="0" xfId="0">
      <alignment horizontal="center" vertical="center" wrapText="1"/>
    </xf>
    <xf numFmtId="49" fontId="12" fillId="2" borderId="64" applyAlignment="1" pivotButton="0" quotePrefix="0" xfId="0">
      <alignment horizontal="center" vertical="center" wrapText="1"/>
    </xf>
    <xf numFmtId="3" fontId="12" fillId="10" borderId="96" applyAlignment="1" pivotButton="0" quotePrefix="0" xfId="0">
      <alignment horizontal="center" vertical="center" wrapText="1"/>
    </xf>
    <xf numFmtId="49" fontId="14" fillId="2" borderId="67" applyAlignment="1" pivotButton="0" quotePrefix="0" xfId="0">
      <alignment horizontal="center" vertical="center" wrapText="1"/>
    </xf>
    <xf numFmtId="49" fontId="14" fillId="2" borderId="0" applyAlignment="1" pivotButton="0" quotePrefix="0" xfId="0">
      <alignment horizontal="center" vertical="center" wrapText="1"/>
    </xf>
    <xf numFmtId="49" fontId="6" fillId="2" borderId="7" applyAlignment="1" pivotButton="0" quotePrefix="0" xfId="0">
      <alignment horizontal="center" vertical="center" wrapText="1"/>
    </xf>
    <xf numFmtId="49" fontId="14" fillId="2" borderId="30" applyAlignment="1" pivotButton="0" quotePrefix="0" xfId="0">
      <alignment horizontal="center" vertical="center" wrapText="1"/>
    </xf>
    <xf numFmtId="49" fontId="14" fillId="2" borderId="89" applyAlignment="1" pivotButton="0" quotePrefix="0" xfId="0">
      <alignment horizontal="center" vertical="center" wrapText="1"/>
    </xf>
    <xf numFmtId="49" fontId="14" fillId="2" borderId="91" applyAlignment="1" pivotButton="0" quotePrefix="0" xfId="0">
      <alignment horizontal="center" vertical="center" wrapText="1"/>
    </xf>
    <xf numFmtId="49" fontId="14" fillId="9" borderId="79" applyAlignment="1" pivotButton="0" quotePrefix="0" xfId="0">
      <alignment horizontal="center" vertical="center" wrapText="1"/>
    </xf>
    <xf numFmtId="49" fontId="14" fillId="9" borderId="69" applyAlignment="1" pivotButton="0" quotePrefix="0" xfId="0">
      <alignment horizontal="center" vertical="center" wrapText="1"/>
    </xf>
    <xf numFmtId="49" fontId="15" fillId="2" borderId="69" applyAlignment="1" pivotButton="0" quotePrefix="0" xfId="0">
      <alignment horizontal="center" vertical="center" wrapText="1"/>
    </xf>
    <xf numFmtId="49" fontId="15" fillId="0" borderId="69" applyAlignment="1" pivotButton="0" quotePrefix="0" xfId="0">
      <alignment horizontal="center" vertical="center" wrapText="1"/>
    </xf>
    <xf numFmtId="166" fontId="15" fillId="2" borderId="69" applyAlignment="1" pivotButton="0" quotePrefix="0" xfId="0">
      <alignment horizontal="center" vertical="center" wrapText="1"/>
    </xf>
    <xf numFmtId="3" fontId="15" fillId="2" borderId="69" applyAlignment="1" pivotButton="0" quotePrefix="0" xfId="0">
      <alignment horizontal="center" vertical="center" wrapText="1"/>
    </xf>
    <xf numFmtId="3" fontId="14" fillId="10" borderId="69" applyAlignment="1" pivotButton="0" quotePrefix="0" xfId="0">
      <alignment horizontal="center" vertical="center" wrapText="1"/>
    </xf>
    <xf numFmtId="3" fontId="14" fillId="10" borderId="80" applyAlignment="1" pivotButton="0" quotePrefix="0" xfId="0">
      <alignment horizontal="left" vertical="center" wrapText="1"/>
    </xf>
    <xf numFmtId="3" fontId="15" fillId="10" borderId="71" applyAlignment="1" pivotButton="0" quotePrefix="0" xfId="0">
      <alignment horizontal="center" vertical="center" wrapText="1"/>
    </xf>
    <xf numFmtId="3" fontId="14" fillId="10" borderId="71" applyAlignment="1" pivotButton="0" quotePrefix="0" xfId="0">
      <alignment horizontal="center" vertical="center" wrapText="1"/>
    </xf>
    <xf numFmtId="3" fontId="14" fillId="10" borderId="70" applyAlignment="1" pivotButton="0" quotePrefix="0" xfId="0">
      <alignment horizontal="center" vertical="center" wrapText="1"/>
    </xf>
    <xf numFmtId="0" fontId="9" fillId="11" borderId="56" applyAlignment="1" pivotButton="0" quotePrefix="0" xfId="0">
      <alignment horizontal="center" vertical="center" wrapText="1"/>
    </xf>
    <xf numFmtId="0" fontId="9" fillId="11" borderId="72" applyAlignment="1" pivotButton="0" quotePrefix="0" xfId="0">
      <alignment horizontal="center" vertical="center" wrapText="1"/>
    </xf>
    <xf numFmtId="0" fontId="9" fillId="11" borderId="73" applyAlignment="1" pivotButton="0" quotePrefix="0" xfId="0">
      <alignment horizontal="center" vertical="center" wrapText="1"/>
    </xf>
    <xf numFmtId="0" fontId="9" fillId="11" borderId="74" applyAlignment="1" pivotButton="0" quotePrefix="0" xfId="0">
      <alignment horizontal="center" vertical="center" wrapText="1"/>
    </xf>
    <xf numFmtId="0" fontId="9" fillId="11" borderId="75" applyAlignment="1" pivotButton="0" quotePrefix="0" xfId="0">
      <alignment horizontal="center" vertical="center" wrapText="1"/>
    </xf>
    <xf numFmtId="166" fontId="9" fillId="11" borderId="76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3" fontId="9" fillId="11" borderId="73" applyAlignment="1" pivotButton="0" quotePrefix="0" xfId="0">
      <alignment horizontal="center" vertical="center" wrapText="1"/>
    </xf>
    <xf numFmtId="3" fontId="6" fillId="11" borderId="75" applyAlignment="1" pivotButton="0" quotePrefix="0" xfId="0">
      <alignment horizontal="center" vertical="center" wrapText="1"/>
    </xf>
    <xf numFmtId="3" fontId="9" fillId="11" borderId="78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49" fontId="16" fillId="3" borderId="3" applyAlignment="1" pivotButton="0" quotePrefix="1" xfId="0">
      <alignment horizontal="center" vertical="center" wrapText="1"/>
    </xf>
    <xf numFmtId="49" fontId="18" fillId="6" borderId="24" applyAlignment="1" pivotButton="0" quotePrefix="0" xfId="0">
      <alignment horizontal="center" vertical="center" wrapText="1"/>
    </xf>
    <xf numFmtId="49" fontId="17" fillId="7" borderId="24" applyAlignment="1" pivotButton="0" quotePrefix="0" xfId="0">
      <alignment horizontal="center" vertical="center" wrapText="1"/>
    </xf>
    <xf numFmtId="49" fontId="17" fillId="8" borderId="24" applyAlignment="1" pivotButton="0" quotePrefix="0" xfId="0">
      <alignment horizontal="center" vertical="center" wrapText="1"/>
    </xf>
    <xf numFmtId="49" fontId="18" fillId="6" borderId="28" applyAlignment="1" pivotButton="0" quotePrefix="0" xfId="0">
      <alignment horizontal="center" vertical="center" wrapText="1"/>
    </xf>
    <xf numFmtId="49" fontId="17" fillId="7" borderId="28" applyAlignment="1" pivotButton="0" quotePrefix="0" xfId="0">
      <alignment horizontal="center" vertical="center" wrapText="1"/>
    </xf>
    <xf numFmtId="49" fontId="17" fillId="8" borderId="28" applyAlignment="1" pivotButton="0" quotePrefix="0" xfId="0">
      <alignment horizontal="center" vertical="center" wrapText="1"/>
    </xf>
    <xf numFmtId="168" fontId="20" fillId="5" borderId="44" applyAlignment="1" pivotButton="0" quotePrefix="0" xfId="0">
      <alignment vertical="center" wrapText="1"/>
    </xf>
    <xf numFmtId="168" fontId="20" fillId="5" borderId="45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 wrapText="1"/>
    </xf>
    <xf numFmtId="49" fontId="19" fillId="3" borderId="3" applyAlignment="1" pivotButton="0" quotePrefix="0" xfId="0">
      <alignment horizontal="center" vertical="center" wrapText="1"/>
    </xf>
    <xf numFmtId="49" fontId="19" fillId="3" borderId="3" applyAlignment="1" pivotButton="0" quotePrefix="1" xfId="0">
      <alignment horizontal="center" vertical="center" wrapText="1"/>
    </xf>
    <xf numFmtId="49" fontId="19" fillId="3" borderId="24" applyAlignment="1" pivotButton="0" quotePrefix="0" xfId="0">
      <alignment horizontal="center" vertical="center" wrapText="1"/>
    </xf>
    <xf numFmtId="49" fontId="21" fillId="8" borderId="24" applyAlignment="1" pivotButton="0" quotePrefix="0" xfId="0">
      <alignment horizontal="center" vertical="center" wrapText="1"/>
    </xf>
    <xf numFmtId="49" fontId="19" fillId="3" borderId="28" applyAlignment="1" pivotButton="0" quotePrefix="0" xfId="0">
      <alignment horizontal="center" vertical="center" wrapText="1"/>
    </xf>
    <xf numFmtId="49" fontId="21" fillId="8" borderId="28" applyAlignment="1" pivotButton="0" quotePrefix="0" xfId="0">
      <alignment horizontal="center" vertical="center" wrapText="1"/>
    </xf>
    <xf numFmtId="3" fontId="21" fillId="10" borderId="23" applyAlignment="1" pivotButton="0" quotePrefix="0" xfId="0">
      <alignment horizontal="center" vertical="center" wrapText="1"/>
    </xf>
    <xf numFmtId="3" fontId="21" fillId="10" borderId="31" applyAlignment="1" pivotButton="0" quotePrefix="0" xfId="0">
      <alignment horizontal="center" vertical="center" wrapText="1"/>
    </xf>
    <xf numFmtId="3" fontId="21" fillId="10" borderId="16" applyAlignment="1" pivotButton="0" quotePrefix="0" xfId="0">
      <alignment horizontal="center" vertical="center" wrapText="1"/>
    </xf>
    <xf numFmtId="3" fontId="21" fillId="10" borderId="19" applyAlignment="1" pivotButton="0" quotePrefix="0" xfId="0">
      <alignment horizontal="center" vertical="center" wrapText="1"/>
    </xf>
    <xf numFmtId="3" fontId="21" fillId="10" borderId="86" applyAlignment="1" pivotButton="0" quotePrefix="0" xfId="0">
      <alignment horizontal="center" vertical="center" wrapText="1"/>
    </xf>
    <xf numFmtId="3" fontId="21" fillId="10" borderId="66" applyAlignment="1" pivotButton="0" quotePrefix="0" xfId="0">
      <alignment horizontal="center" vertical="center" wrapText="1"/>
    </xf>
    <xf numFmtId="3" fontId="21" fillId="10" borderId="93" applyAlignment="1" pivotButton="0" quotePrefix="0" xfId="0">
      <alignment horizontal="center" vertical="center" wrapText="1"/>
    </xf>
    <xf numFmtId="3" fontId="21" fillId="16" borderId="16" applyAlignment="1" pivotButton="0" quotePrefix="0" xfId="0">
      <alignment horizontal="center" vertical="center" wrapText="1"/>
    </xf>
    <xf numFmtId="3" fontId="21" fillId="10" borderId="58" applyAlignment="1" pivotButton="0" quotePrefix="0" xfId="0">
      <alignment horizontal="center" vertical="center" wrapText="1"/>
    </xf>
    <xf numFmtId="0" fontId="20" fillId="10" borderId="59" applyAlignment="1" pivotButton="0" quotePrefix="0" xfId="0">
      <alignment horizontal="center" vertical="center"/>
    </xf>
    <xf numFmtId="0" fontId="20" fillId="10" borderId="61" applyAlignment="1" pivotButton="0" quotePrefix="0" xfId="0">
      <alignment horizontal="center" vertical="center"/>
    </xf>
    <xf numFmtId="49" fontId="13" fillId="9" borderId="53" applyAlignment="1" pivotButton="0" quotePrefix="0" xfId="0">
      <alignment horizontal="center" vertical="center" wrapText="1"/>
    </xf>
    <xf numFmtId="49" fontId="14" fillId="14" borderId="29" applyAlignment="1" pivotButton="0" quotePrefix="0" xfId="0">
      <alignment horizontal="center" vertical="center" wrapText="1"/>
    </xf>
    <xf numFmtId="49" fontId="14" fillId="14" borderId="17" applyAlignment="1" pivotButton="0" quotePrefix="0" xfId="0">
      <alignment horizontal="center" vertical="center" wrapText="1"/>
    </xf>
    <xf numFmtId="49" fontId="6" fillId="14" borderId="18" applyAlignment="1" pivotButton="0" quotePrefix="0" xfId="0">
      <alignment horizontal="center" vertical="center" wrapText="1"/>
    </xf>
    <xf numFmtId="0" fontId="20" fillId="10" borderId="19" applyAlignment="1" pivotButton="0" quotePrefix="0" xfId="0">
      <alignment horizontal="center" vertical="center"/>
    </xf>
    <xf numFmtId="3" fontId="12" fillId="10" borderId="97" applyAlignment="1" pivotButton="0" quotePrefix="0" xfId="0">
      <alignment horizontal="center" vertical="center" wrapText="1"/>
    </xf>
    <xf numFmtId="3" fontId="12" fillId="10" borderId="7" applyAlignment="1" pivotButton="0" quotePrefix="0" xfId="0">
      <alignment horizontal="center" vertical="center" wrapText="1"/>
    </xf>
    <xf numFmtId="49" fontId="14" fillId="2" borderId="82" applyAlignment="1" pivotButton="0" quotePrefix="0" xfId="0">
      <alignment horizontal="center" vertical="center" wrapText="1"/>
    </xf>
    <xf numFmtId="49" fontId="14" fillId="2" borderId="84" applyAlignment="1" pivotButton="0" quotePrefix="0" xfId="0">
      <alignment horizontal="center" vertical="center" wrapText="1"/>
    </xf>
    <xf numFmtId="3" fontId="21" fillId="16" borderId="19" applyAlignment="1" pivotButton="0" quotePrefix="0" xfId="0">
      <alignment horizontal="center" vertical="center" wrapText="1"/>
    </xf>
    <xf numFmtId="3" fontId="21" fillId="16" borderId="66" applyAlignment="1" pivotButton="0" quotePrefix="0" xfId="0">
      <alignment horizontal="center" vertical="center" wrapText="1"/>
    </xf>
    <xf numFmtId="167" fontId="6" fillId="16" borderId="18" applyAlignment="1" pivotButton="0" quotePrefix="0" xfId="0">
      <alignment horizontal="center" vertical="center" wrapText="1"/>
    </xf>
    <xf numFmtId="167" fontId="6" fillId="16" borderId="65" applyAlignment="1" pivotButton="0" quotePrefix="0" xfId="0">
      <alignment horizontal="center" vertical="center" wrapText="1"/>
    </xf>
    <xf numFmtId="3" fontId="21" fillId="4" borderId="16" applyAlignment="1" pivotButton="0" quotePrefix="0" xfId="0">
      <alignment horizontal="center" vertical="center" wrapText="1"/>
    </xf>
    <xf numFmtId="167" fontId="6" fillId="4" borderId="15" applyAlignment="1" pivotButton="0" quotePrefix="0" xfId="0">
      <alignment horizontal="center" vertical="center" wrapText="1"/>
    </xf>
    <xf numFmtId="3" fontId="21" fillId="10" borderId="60" applyAlignment="1" pivotButton="0" quotePrefix="0" xfId="0">
      <alignment horizontal="center" vertical="center" wrapText="1"/>
    </xf>
    <xf numFmtId="3" fontId="21" fillId="10" borderId="62" applyAlignment="1" pivotButton="0" quotePrefix="0" xfId="0">
      <alignment horizontal="center" vertical="center" wrapText="1"/>
    </xf>
    <xf numFmtId="3" fontId="12" fillId="10" borderId="98" applyAlignment="1" pivotButton="0" quotePrefix="0" xfId="0">
      <alignment horizontal="center" vertical="center" wrapText="1"/>
    </xf>
    <xf numFmtId="49" fontId="14" fillId="2" borderId="99" applyAlignment="1" pivotButton="0" quotePrefix="0" xfId="0">
      <alignment horizontal="center" vertical="center" wrapText="1"/>
    </xf>
    <xf numFmtId="49" fontId="14" fillId="2" borderId="2" applyAlignment="1" pivotButton="0" quotePrefix="0" xfId="0">
      <alignment horizontal="center" vertical="center" wrapText="1"/>
    </xf>
    <xf numFmtId="49" fontId="14" fillId="2" borderId="37" applyAlignment="1" pivotButton="0" quotePrefix="0" xfId="0">
      <alignment horizontal="center" vertical="center" wrapText="1"/>
    </xf>
    <xf numFmtId="49" fontId="6" fillId="2" borderId="2" applyAlignment="1" pivotButton="0" quotePrefix="0" xfId="0">
      <alignment horizontal="center" vertical="center" wrapText="1"/>
    </xf>
    <xf numFmtId="49" fontId="6" fillId="2" borderId="38" applyAlignment="1" pivotButton="0" quotePrefix="0" xfId="0">
      <alignment horizontal="center" vertical="center" wrapText="1"/>
    </xf>
    <xf numFmtId="166" fontId="6" fillId="2" borderId="37" applyAlignment="1" pivotButton="0" quotePrefix="0" xfId="0">
      <alignment horizontal="center" vertical="center" wrapText="1"/>
    </xf>
    <xf numFmtId="49" fontId="12" fillId="2" borderId="2" applyAlignment="1" pivotButton="0" quotePrefix="0" xfId="0">
      <alignment horizontal="center" vertical="center" wrapText="1"/>
    </xf>
    <xf numFmtId="167" fontId="6" fillId="2" borderId="38" applyAlignment="1" pivotButton="0" quotePrefix="0" xfId="0">
      <alignment horizontal="center" vertical="center" wrapText="1"/>
    </xf>
    <xf numFmtId="3" fontId="6" fillId="2" borderId="38" applyAlignment="1" pivotButton="0" quotePrefix="0" xfId="0">
      <alignment horizontal="center" vertical="center" wrapText="1"/>
    </xf>
    <xf numFmtId="3" fontId="12" fillId="10" borderId="38" applyAlignment="1" pivotButton="0" quotePrefix="0" xfId="0">
      <alignment horizontal="center" vertical="center" wrapText="1"/>
    </xf>
    <xf numFmtId="3" fontId="12" fillId="10" borderId="39" applyAlignment="1" pivotButton="0" quotePrefix="0" xfId="0">
      <alignment horizontal="center" vertical="center" wrapText="1"/>
    </xf>
    <xf numFmtId="3" fontId="21" fillId="10" borderId="13" applyAlignment="1" pivotButton="0" quotePrefix="0" xfId="0">
      <alignment horizontal="center" vertical="center" wrapText="1"/>
    </xf>
    <xf numFmtId="49" fontId="12" fillId="2" borderId="17" applyAlignment="1" pivotButton="0" quotePrefix="0" xfId="0">
      <alignment horizontal="center" vertical="center" wrapText="1"/>
    </xf>
    <xf numFmtId="3" fontId="6" fillId="4" borderId="15" applyAlignment="1" pivotButton="0" quotePrefix="0" xfId="0">
      <alignment horizontal="center" vertical="center" wrapText="1"/>
    </xf>
    <xf numFmtId="167" fontId="6" fillId="4" borderId="18" applyAlignment="1" pivotButton="0" quotePrefix="0" xfId="0">
      <alignment horizontal="center" vertical="center" wrapText="1"/>
    </xf>
    <xf numFmtId="3" fontId="6" fillId="4" borderId="18" applyAlignment="1" pivotButton="0" quotePrefix="0" xfId="0">
      <alignment horizontal="center" vertical="center" wrapText="1"/>
    </xf>
    <xf numFmtId="0" fontId="20" fillId="10" borderId="23" applyAlignment="1" pivotButton="0" quotePrefix="0" xfId="0">
      <alignment horizontal="center" vertical="center"/>
    </xf>
    <xf numFmtId="0" fontId="20" fillId="10" borderId="66" applyAlignment="1" pivotButton="0" quotePrefix="0" xfId="0">
      <alignment horizontal="center" vertical="center"/>
    </xf>
    <xf numFmtId="3" fontId="12" fillId="10" borderId="100" applyAlignment="1" pivotButton="0" quotePrefix="0" xfId="0">
      <alignment horizontal="center" vertical="center" wrapText="1"/>
    </xf>
    <xf numFmtId="3" fontId="6" fillId="16" borderId="65" applyAlignment="1" pivotButton="0" quotePrefix="0" xfId="0">
      <alignment horizontal="center" vertical="center" wrapText="1"/>
    </xf>
    <xf numFmtId="3" fontId="6" fillId="16" borderId="15" applyAlignment="1" pivotButton="0" quotePrefix="0" xfId="0">
      <alignment horizontal="center" vertical="center" wrapText="1"/>
    </xf>
    <xf numFmtId="167" fontId="6" fillId="16" borderId="92" applyAlignment="1" pivotButton="0" quotePrefix="0" xfId="0">
      <alignment horizontal="center" vertical="center" wrapText="1"/>
    </xf>
    <xf numFmtId="167" fontId="6" fillId="16" borderId="90" applyAlignment="1" pivotButton="0" quotePrefix="0" xfId="0">
      <alignment horizontal="center" vertical="center" wrapText="1"/>
    </xf>
    <xf numFmtId="3" fontId="21" fillId="16" borderId="93" applyAlignment="1" pivotButton="0" quotePrefix="0" xfId="0">
      <alignment horizontal="center" vertical="center" wrapText="1"/>
    </xf>
    <xf numFmtId="49" fontId="14" fillId="2" borderId="26" applyAlignment="1" pivotButton="0" quotePrefix="0" xfId="0">
      <alignment horizontal="center" vertical="center" wrapText="1"/>
    </xf>
    <xf numFmtId="49" fontId="12" fillId="2" borderId="21" applyAlignment="1" pivotButton="0" quotePrefix="0" xfId="0">
      <alignment horizontal="center" vertical="center" wrapText="1"/>
    </xf>
    <xf numFmtId="49" fontId="14" fillId="9" borderId="0" applyAlignment="1" pivotButton="0" quotePrefix="0" xfId="0">
      <alignment horizontal="center" vertical="center" wrapText="1"/>
    </xf>
    <xf numFmtId="49" fontId="7" fillId="2" borderId="5" applyAlignment="1" pivotButton="0" quotePrefix="0" xfId="0">
      <alignment horizontal="center" vertical="center" wrapText="1"/>
    </xf>
    <xf numFmtId="3" fontId="12" fillId="10" borderId="101" applyAlignment="1" pivotButton="0" quotePrefix="0" xfId="0">
      <alignment horizontal="center" vertical="center" wrapText="1"/>
    </xf>
    <xf numFmtId="166" fontId="6" fillId="14" borderId="26" applyAlignment="1" pivotButton="0" quotePrefix="0" xfId="0">
      <alignment horizontal="center" vertical="center" wrapText="1"/>
    </xf>
    <xf numFmtId="49" fontId="12" fillId="14" borderId="21" applyAlignment="1" pivotButton="0" quotePrefix="0" xfId="0">
      <alignment horizontal="center" vertical="center" wrapText="1"/>
    </xf>
    <xf numFmtId="167" fontId="24" fillId="17" borderId="68" applyAlignment="1" pivotButton="0" quotePrefix="0" xfId="0">
      <alignment horizontal="right" vertical="center"/>
    </xf>
    <xf numFmtId="49" fontId="24" fillId="17" borderId="68" applyAlignment="1" pivotButton="0" quotePrefix="0" xfId="0">
      <alignment horizontal="center" vertical="center"/>
    </xf>
    <xf numFmtId="167" fontId="25" fillId="18" borderId="68" applyAlignment="1" pivotButton="0" quotePrefix="0" xfId="0">
      <alignment horizontal="right" vertical="center"/>
    </xf>
    <xf numFmtId="49" fontId="25" fillId="18" borderId="68" applyAlignment="1" pivotButton="0" quotePrefix="0" xfId="0">
      <alignment horizontal="center" vertical="center"/>
    </xf>
    <xf numFmtId="167" fontId="24" fillId="19" borderId="68" applyAlignment="1" pivotButton="0" quotePrefix="0" xfId="0">
      <alignment horizontal="right" vertical="center"/>
    </xf>
    <xf numFmtId="49" fontId="24" fillId="19" borderId="68" applyAlignment="1" pivotButton="0" quotePrefix="0" xfId="0">
      <alignment horizontal="center" vertical="center"/>
    </xf>
    <xf numFmtId="49" fontId="24" fillId="9" borderId="68" applyAlignment="1" pivotButton="0" quotePrefix="0" xfId="0">
      <alignment horizontal="center" vertical="center"/>
    </xf>
    <xf numFmtId="167" fontId="24" fillId="20" borderId="68" applyAlignment="1" pivotButton="0" quotePrefix="0" xfId="0">
      <alignment horizontal="right" vertical="center"/>
    </xf>
    <xf numFmtId="49" fontId="24" fillId="20" borderId="68" applyAlignment="1" pivotButton="0" quotePrefix="0" xfId="0">
      <alignment horizontal="center" vertical="center"/>
    </xf>
    <xf numFmtId="49" fontId="24" fillId="3" borderId="68" applyAlignment="1" pivotButton="0" quotePrefix="0" xfId="0">
      <alignment horizontal="center" vertical="center"/>
    </xf>
    <xf numFmtId="0" fontId="27" fillId="2" borderId="103" applyAlignment="1" pivotButton="0" quotePrefix="0" xfId="0">
      <alignment horizontal="center" vertical="center"/>
    </xf>
    <xf numFmtId="169" fontId="27" fillId="2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169" fontId="27" fillId="2" borderId="57" applyAlignment="1" pivotButton="0" quotePrefix="0" xfId="0">
      <alignment vertical="center"/>
    </xf>
    <xf numFmtId="16" fontId="27" fillId="4" borderId="106" applyAlignment="1" pivotButton="0" quotePrefix="0" xfId="0">
      <alignment horizontal="center" vertical="center" wrapText="1"/>
    </xf>
    <xf numFmtId="0" fontId="27" fillId="4" borderId="107" applyAlignment="1" pivotButton="0" quotePrefix="0" xfId="0">
      <alignment vertical="center" wrapText="1"/>
    </xf>
    <xf numFmtId="16" fontId="27" fillId="4" borderId="24" applyAlignment="1" pivotButton="0" quotePrefix="1" xfId="0">
      <alignment horizontal="center" vertical="center" wrapText="1"/>
    </xf>
    <xf numFmtId="0" fontId="26" fillId="6" borderId="116" applyAlignment="1" pivotButton="0" quotePrefix="0" xfId="0">
      <alignment horizontal="center" vertical="center" wrapText="1"/>
    </xf>
    <xf numFmtId="0" fontId="27" fillId="7" borderId="116" applyAlignment="1" pivotButton="0" quotePrefix="0" xfId="0">
      <alignment horizontal="center" vertical="center" wrapText="1"/>
    </xf>
    <xf numFmtId="0" fontId="27" fillId="8" borderId="116" applyAlignment="1" pivotButton="0" quotePrefix="0" xfId="0">
      <alignment horizontal="center" vertical="center" wrapText="1"/>
    </xf>
    <xf numFmtId="0" fontId="27" fillId="2" borderId="121" applyAlignment="1" pivotButton="0" quotePrefix="0" xfId="0">
      <alignment horizontal="center" vertical="center"/>
    </xf>
    <xf numFmtId="0" fontId="27" fillId="0" borderId="121" applyAlignment="1" pivotButton="0" quotePrefix="0" xfId="0">
      <alignment horizontal="center" vertical="center"/>
    </xf>
    <xf numFmtId="0" fontId="27" fillId="0" borderId="121" applyAlignment="1" pivotButton="0" quotePrefix="0" xfId="0">
      <alignment horizontal="left" vertical="center"/>
    </xf>
    <xf numFmtId="0" fontId="27" fillId="4" borderId="121" applyAlignment="1" pivotButton="0" quotePrefix="0" xfId="0">
      <alignment horizontal="left" vertical="center"/>
    </xf>
    <xf numFmtId="167" fontId="27" fillId="0" borderId="122" applyAlignment="1" pivotButton="0" quotePrefix="0" xfId="6">
      <alignment horizontal="center" vertical="center"/>
    </xf>
    <xf numFmtId="3" fontId="27" fillId="0" borderId="122" applyAlignment="1" pivotButton="0" quotePrefix="0" xfId="6">
      <alignment horizontal="center" vertical="center"/>
    </xf>
    <xf numFmtId="3" fontId="27" fillId="0" borderId="121" applyAlignment="1" pivotButton="0" quotePrefix="0" xfId="0">
      <alignment horizontal="center" vertical="center"/>
    </xf>
    <xf numFmtId="0" fontId="31" fillId="0" borderId="121" applyAlignment="1" pivotButton="0" quotePrefix="0" xfId="0">
      <alignment horizontal="center" vertical="center"/>
    </xf>
    <xf numFmtId="0" fontId="27" fillId="0" borderId="12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7" fillId="0" borderId="124" applyAlignment="1" pivotButton="0" quotePrefix="0" xfId="0">
      <alignment horizontal="center" vertical="center"/>
    </xf>
    <xf numFmtId="0" fontId="27" fillId="0" borderId="124" applyAlignment="1" pivotButton="0" quotePrefix="0" xfId="0">
      <alignment horizontal="left" vertical="center"/>
    </xf>
    <xf numFmtId="0" fontId="27" fillId="4" borderId="124" applyAlignment="1" pivotButton="0" quotePrefix="0" xfId="0">
      <alignment horizontal="left" vertical="center"/>
    </xf>
    <xf numFmtId="167" fontId="27" fillId="0" borderId="125" applyAlignment="1" pivotButton="0" quotePrefix="0" xfId="6">
      <alignment horizontal="center" vertical="center"/>
    </xf>
    <xf numFmtId="3" fontId="27" fillId="0" borderId="125" applyAlignment="1" pivotButton="0" quotePrefix="0" xfId="6">
      <alignment horizontal="center" vertical="center"/>
    </xf>
    <xf numFmtId="3" fontId="27" fillId="0" borderId="124" applyAlignment="1" pivotButton="0" quotePrefix="0" xfId="0">
      <alignment horizontal="center" vertical="center"/>
    </xf>
    <xf numFmtId="0" fontId="27" fillId="0" borderId="126" applyAlignment="1" pivotButton="0" quotePrefix="0" xfId="0">
      <alignment horizontal="center" vertical="center"/>
    </xf>
    <xf numFmtId="0" fontId="27" fillId="0" borderId="127" applyAlignment="1" pivotButton="0" quotePrefix="0" xfId="0">
      <alignment horizontal="center" vertical="center"/>
    </xf>
    <xf numFmtId="0" fontId="27" fillId="0" borderId="127" applyAlignment="1" pivotButton="0" quotePrefix="0" xfId="0">
      <alignment horizontal="left" vertical="center"/>
    </xf>
    <xf numFmtId="0" fontId="27" fillId="4" borderId="127" applyAlignment="1" pivotButton="0" quotePrefix="0" xfId="0">
      <alignment horizontal="left" vertical="center"/>
    </xf>
    <xf numFmtId="167" fontId="27" fillId="0" borderId="128" applyAlignment="1" pivotButton="0" quotePrefix="0" xfId="6">
      <alignment horizontal="center" vertical="center"/>
    </xf>
    <xf numFmtId="3" fontId="27" fillId="0" borderId="128" applyAlignment="1" pivotButton="0" quotePrefix="0" xfId="6">
      <alignment horizontal="center" vertical="center"/>
    </xf>
    <xf numFmtId="3" fontId="27" fillId="0" borderId="127" applyAlignment="1" pivotButton="0" quotePrefix="0" xfId="0">
      <alignment horizontal="center" vertical="center"/>
    </xf>
    <xf numFmtId="0" fontId="27" fillId="0" borderId="129" applyAlignment="1" pivotButton="0" quotePrefix="0" xfId="0">
      <alignment horizontal="center" vertical="center"/>
    </xf>
    <xf numFmtId="0" fontId="27" fillId="0" borderId="130" applyAlignment="1" pivotButton="0" quotePrefix="0" xfId="0">
      <alignment horizontal="center" vertical="center"/>
    </xf>
    <xf numFmtId="0" fontId="27" fillId="0" borderId="130" applyAlignment="1" pivotButton="0" quotePrefix="0" xfId="0">
      <alignment horizontal="left" vertical="center"/>
    </xf>
    <xf numFmtId="0" fontId="27" fillId="4" borderId="130" applyAlignment="1" pivotButton="0" quotePrefix="0" xfId="0">
      <alignment horizontal="left" vertical="center"/>
    </xf>
    <xf numFmtId="167" fontId="27" fillId="0" borderId="131" applyAlignment="1" pivotButton="0" quotePrefix="0" xfId="6">
      <alignment horizontal="center" vertical="center"/>
    </xf>
    <xf numFmtId="3" fontId="27" fillId="0" borderId="131" applyAlignment="1" pivotButton="0" quotePrefix="0" xfId="6">
      <alignment horizontal="center" vertical="center"/>
    </xf>
    <xf numFmtId="3" fontId="27" fillId="0" borderId="130" applyAlignment="1" pivotButton="0" quotePrefix="0" xfId="0">
      <alignment horizontal="center" vertical="center"/>
    </xf>
    <xf numFmtId="0" fontId="27" fillId="0" borderId="132" applyAlignment="1" pivotButton="0" quotePrefix="0" xfId="0">
      <alignment horizontal="center" vertical="center"/>
    </xf>
    <xf numFmtId="0" fontId="27" fillId="0" borderId="133" applyAlignment="1" pivotButton="0" quotePrefix="0" xfId="0">
      <alignment horizontal="center" vertical="center"/>
    </xf>
    <xf numFmtId="0" fontId="27" fillId="0" borderId="133" applyAlignment="1" pivotButton="0" quotePrefix="0" xfId="0">
      <alignment horizontal="left" vertical="center"/>
    </xf>
    <xf numFmtId="0" fontId="27" fillId="2" borderId="133" applyAlignment="1" pivotButton="0" quotePrefix="0" xfId="0">
      <alignment horizontal="left" vertical="center"/>
    </xf>
    <xf numFmtId="167" fontId="27" fillId="0" borderId="134" applyAlignment="1" pivotButton="0" quotePrefix="0" xfId="6">
      <alignment horizontal="center" vertical="center"/>
    </xf>
    <xf numFmtId="3" fontId="27" fillId="0" borderId="134" applyAlignment="1" pivotButton="0" quotePrefix="0" xfId="6">
      <alignment horizontal="center" vertical="center"/>
    </xf>
    <xf numFmtId="3" fontId="27" fillId="0" borderId="133" applyAlignment="1" pivotButton="0" quotePrefix="0" xfId="0">
      <alignment horizontal="center" vertical="center"/>
    </xf>
    <xf numFmtId="0" fontId="31" fillId="0" borderId="133" applyAlignment="1" pivotButton="0" quotePrefix="0" xfId="0">
      <alignment horizontal="center" vertical="center"/>
    </xf>
    <xf numFmtId="0" fontId="27" fillId="0" borderId="110" applyAlignment="1" pivotButton="0" quotePrefix="0" xfId="0">
      <alignment horizontal="center" vertical="center"/>
    </xf>
    <xf numFmtId="0" fontId="27" fillId="2" borderId="127" applyAlignment="1" pivotButton="0" quotePrefix="0" xfId="0">
      <alignment horizontal="left" vertical="center"/>
    </xf>
    <xf numFmtId="0" fontId="31" fillId="0" borderId="127" applyAlignment="1" pivotButton="0" quotePrefix="0" xfId="0">
      <alignment horizontal="center" vertical="center"/>
    </xf>
    <xf numFmtId="0" fontId="27" fillId="0" borderId="135" applyAlignment="1" pivotButton="0" quotePrefix="0" xfId="0">
      <alignment horizontal="center" vertical="center"/>
    </xf>
    <xf numFmtId="0" fontId="27" fillId="0" borderId="135" applyAlignment="1" pivotButton="0" quotePrefix="0" xfId="0">
      <alignment horizontal="left" vertical="center"/>
    </xf>
    <xf numFmtId="0" fontId="27" fillId="2" borderId="135" applyAlignment="1" pivotButton="0" quotePrefix="0" xfId="0">
      <alignment horizontal="left" vertical="center"/>
    </xf>
    <xf numFmtId="167" fontId="27" fillId="0" borderId="136" applyAlignment="1" pivotButton="0" quotePrefix="0" xfId="6">
      <alignment horizontal="center" vertical="center"/>
    </xf>
    <xf numFmtId="3" fontId="27" fillId="0" borderId="136" applyAlignment="1" pivotButton="0" quotePrefix="0" xfId="6">
      <alignment horizontal="center" vertical="center"/>
    </xf>
    <xf numFmtId="3" fontId="27" fillId="0" borderId="135" applyAlignment="1" pivotButton="0" quotePrefix="0" xfId="0">
      <alignment horizontal="center" vertical="center"/>
    </xf>
    <xf numFmtId="0" fontId="31" fillId="0" borderId="135" applyAlignment="1" pivotButton="0" quotePrefix="0" xfId="0">
      <alignment horizontal="center" vertical="center"/>
    </xf>
    <xf numFmtId="0" fontId="27" fillId="0" borderId="119" applyAlignment="1" pivotButton="0" quotePrefix="0" xfId="0">
      <alignment horizontal="center" vertical="center"/>
    </xf>
    <xf numFmtId="0" fontId="27" fillId="2" borderId="124" applyAlignment="1" pivotButton="0" quotePrefix="0" xfId="0">
      <alignment horizontal="left" vertical="center"/>
    </xf>
    <xf numFmtId="0" fontId="31" fillId="0" borderId="124" applyAlignment="1" pivotButton="0" quotePrefix="0" xfId="0">
      <alignment horizontal="center" vertical="center"/>
    </xf>
    <xf numFmtId="0" fontId="27" fillId="0" borderId="137" applyAlignment="1" pivotButton="0" quotePrefix="0" xfId="0">
      <alignment horizontal="center" vertical="center"/>
    </xf>
    <xf numFmtId="0" fontId="27" fillId="0" borderId="137" applyAlignment="1" pivotButton="0" quotePrefix="0" xfId="0">
      <alignment horizontal="left" vertical="center"/>
    </xf>
    <xf numFmtId="0" fontId="27" fillId="2" borderId="137" applyAlignment="1" pivotButton="0" quotePrefix="0" xfId="0">
      <alignment horizontal="left" vertical="center"/>
    </xf>
    <xf numFmtId="167" fontId="27" fillId="0" borderId="138" applyAlignment="1" pivotButton="0" quotePrefix="0" xfId="6">
      <alignment horizontal="center" vertical="center"/>
    </xf>
    <xf numFmtId="3" fontId="27" fillId="0" borderId="138" applyAlignment="1" pivotButton="0" quotePrefix="0" xfId="6">
      <alignment horizontal="center" vertical="center"/>
    </xf>
    <xf numFmtId="3" fontId="27" fillId="0" borderId="137" applyAlignment="1" pivotButton="0" quotePrefix="0" xfId="0">
      <alignment horizontal="center" vertical="center"/>
    </xf>
    <xf numFmtId="0" fontId="31" fillId="0" borderId="137" applyAlignment="1" pivotButton="0" quotePrefix="0" xfId="0">
      <alignment horizontal="center" vertical="center"/>
    </xf>
    <xf numFmtId="0" fontId="27" fillId="0" borderId="139" applyAlignment="1" pivotButton="0" quotePrefix="0" xfId="0">
      <alignment horizontal="center" vertical="center"/>
    </xf>
    <xf numFmtId="0" fontId="27" fillId="0" borderId="140" applyAlignment="1" pivotButton="0" quotePrefix="0" xfId="0">
      <alignment horizontal="center" vertical="center"/>
    </xf>
    <xf numFmtId="0" fontId="27" fillId="0" borderId="140" applyAlignment="1" pivotButton="0" quotePrefix="0" xfId="0">
      <alignment horizontal="left" vertical="center"/>
    </xf>
    <xf numFmtId="167" fontId="27" fillId="0" borderId="141" applyAlignment="1" pivotButton="0" quotePrefix="0" xfId="6">
      <alignment horizontal="center" vertical="center"/>
    </xf>
    <xf numFmtId="3" fontId="27" fillId="0" borderId="141" applyAlignment="1" pivotButton="0" quotePrefix="0" xfId="6">
      <alignment horizontal="center" vertical="center"/>
    </xf>
    <xf numFmtId="3" fontId="27" fillId="0" borderId="140" applyAlignment="1" pivotButton="0" quotePrefix="0" xfId="0">
      <alignment horizontal="center" vertical="center"/>
    </xf>
    <xf numFmtId="0" fontId="27" fillId="0" borderId="142" applyAlignment="1" pivotButton="0" quotePrefix="0" xfId="0">
      <alignment horizontal="center" vertical="center"/>
    </xf>
    <xf numFmtId="0" fontId="30" fillId="0" borderId="120" applyAlignment="1" pivotButton="0" quotePrefix="0" xfId="0">
      <alignment horizontal="center" vertical="center"/>
    </xf>
    <xf numFmtId="0" fontId="27" fillId="2" borderId="133" applyAlignment="1" pivotButton="0" quotePrefix="0" xfId="0">
      <alignment horizontal="center" vertical="center"/>
    </xf>
    <xf numFmtId="0" fontId="27" fillId="2" borderId="130" applyAlignment="1" pivotButton="0" quotePrefix="0" xfId="0">
      <alignment horizontal="center" vertical="center"/>
    </xf>
    <xf numFmtId="0" fontId="27" fillId="2" borderId="127" applyAlignment="1" pivotButton="0" quotePrefix="0" xfId="0">
      <alignment horizontal="center" vertical="center"/>
    </xf>
    <xf numFmtId="0" fontId="27" fillId="4" borderId="130" applyAlignment="1" pivotButton="0" quotePrefix="0" xfId="0">
      <alignment horizontal="center" vertical="center"/>
    </xf>
    <xf numFmtId="167" fontId="27" fillId="16" borderId="128" applyAlignment="1" pivotButton="0" quotePrefix="0" xfId="6">
      <alignment horizontal="center" vertical="center"/>
    </xf>
    <xf numFmtId="0" fontId="27" fillId="16" borderId="127" applyAlignment="1" pivotButton="0" quotePrefix="0" xfId="0">
      <alignment horizontal="center" vertical="center"/>
    </xf>
    <xf numFmtId="0" fontId="27" fillId="2" borderId="137" applyAlignment="1" pivotButton="0" quotePrefix="0" xfId="0">
      <alignment horizontal="center" vertical="center"/>
    </xf>
    <xf numFmtId="167" fontId="27" fillId="16" borderId="138" applyAlignment="1" pivotButton="0" quotePrefix="0" xfId="6">
      <alignment horizontal="center" vertical="center"/>
    </xf>
    <xf numFmtId="0" fontId="27" fillId="16" borderId="137" applyAlignment="1" pivotButton="0" quotePrefix="0" xfId="0">
      <alignment horizontal="center" vertical="center"/>
    </xf>
    <xf numFmtId="0" fontId="27" fillId="0" borderId="143" applyAlignment="1" pivotButton="0" quotePrefix="0" xfId="0">
      <alignment horizontal="center" vertical="center"/>
    </xf>
    <xf numFmtId="0" fontId="27" fillId="0" borderId="143" applyAlignment="1" pivotButton="0" quotePrefix="0" xfId="0">
      <alignment horizontal="left" vertical="center"/>
    </xf>
    <xf numFmtId="167" fontId="27" fillId="0" borderId="144" applyAlignment="1" pivotButton="0" quotePrefix="0" xfId="6">
      <alignment horizontal="center" vertical="center"/>
    </xf>
    <xf numFmtId="3" fontId="27" fillId="0" borderId="144" applyAlignment="1" pivotButton="0" quotePrefix="0" xfId="6">
      <alignment horizontal="center" vertical="center"/>
    </xf>
    <xf numFmtId="3" fontId="27" fillId="0" borderId="143" applyAlignment="1" pivotButton="0" quotePrefix="0" xfId="0">
      <alignment horizontal="center" vertical="center"/>
    </xf>
    <xf numFmtId="0" fontId="27" fillId="2" borderId="145" applyAlignment="1" pivotButton="0" quotePrefix="0" xfId="0">
      <alignment horizontal="center" vertical="center"/>
    </xf>
    <xf numFmtId="0" fontId="27" fillId="0" borderId="145" applyAlignment="1" pivotButton="0" quotePrefix="0" xfId="0">
      <alignment horizontal="center" vertical="center"/>
    </xf>
    <xf numFmtId="0" fontId="27" fillId="0" borderId="114" applyAlignment="1" pivotButton="0" quotePrefix="0" xfId="0">
      <alignment horizontal="center" vertical="center"/>
    </xf>
    <xf numFmtId="0" fontId="27" fillId="4" borderId="121" applyAlignment="1" pivotButton="0" quotePrefix="0" xfId="0">
      <alignment horizontal="center" vertical="center"/>
    </xf>
    <xf numFmtId="0" fontId="27" fillId="4" borderId="137" applyAlignment="1" pivotButton="0" quotePrefix="0" xfId="0">
      <alignment horizontal="center" vertical="center"/>
    </xf>
    <xf numFmtId="0" fontId="27" fillId="4" borderId="137" applyAlignment="1" pivotButton="0" quotePrefix="0" xfId="0">
      <alignment horizontal="left" vertical="center"/>
    </xf>
    <xf numFmtId="0" fontId="27" fillId="2" borderId="124" applyAlignment="1" pivotButton="0" quotePrefix="0" xfId="0">
      <alignment horizontal="center" vertical="center"/>
    </xf>
    <xf numFmtId="0" fontId="27" fillId="4" borderId="127" applyAlignment="1" pivotButton="0" quotePrefix="0" xfId="0">
      <alignment horizontal="center" vertical="center"/>
    </xf>
    <xf numFmtId="0" fontId="27" fillId="2" borderId="140" applyAlignment="1" pivotButton="0" quotePrefix="0" xfId="0">
      <alignment horizontal="center" vertical="center"/>
    </xf>
    <xf numFmtId="0" fontId="27" fillId="2" borderId="140" applyAlignment="1" pivotButton="0" quotePrefix="0" xfId="0">
      <alignment horizontal="left" vertical="center"/>
    </xf>
    <xf numFmtId="0" fontId="27" fillId="4" borderId="140" applyAlignment="1" pivotButton="0" quotePrefix="0" xfId="0">
      <alignment horizontal="left" vertical="center"/>
    </xf>
    <xf numFmtId="0" fontId="27" fillId="4" borderId="120" applyAlignment="1" pivotButton="0" quotePrefix="0" xfId="0">
      <alignment horizontal="center" vertical="center"/>
    </xf>
    <xf numFmtId="0" fontId="27" fillId="0" borderId="120" applyAlignment="1" pivotButton="0" quotePrefix="0" xfId="0">
      <alignment horizontal="center" vertical="center"/>
    </xf>
    <xf numFmtId="0" fontId="27" fillId="0" borderId="120" applyAlignment="1" pivotButton="0" quotePrefix="0" xfId="0">
      <alignment horizontal="left" vertical="center"/>
    </xf>
    <xf numFmtId="0" fontId="27" fillId="4" borderId="120" applyAlignment="1" pivotButton="0" quotePrefix="0" xfId="0">
      <alignment horizontal="left" vertical="center"/>
    </xf>
    <xf numFmtId="167" fontId="27" fillId="0" borderId="146" applyAlignment="1" pivotButton="0" quotePrefix="0" xfId="6">
      <alignment horizontal="center" vertical="center"/>
    </xf>
    <xf numFmtId="3" fontId="27" fillId="0" borderId="146" applyAlignment="1" pivotButton="0" quotePrefix="0" xfId="6">
      <alignment horizontal="center" vertical="center"/>
    </xf>
    <xf numFmtId="3" fontId="27" fillId="0" borderId="120" applyAlignment="1" pivotButton="0" quotePrefix="0" xfId="0">
      <alignment horizontal="center" vertical="center"/>
    </xf>
    <xf numFmtId="0" fontId="27" fillId="2" borderId="130" applyAlignment="1" pivotButton="0" quotePrefix="0" xfId="0">
      <alignment horizontal="left" vertical="center"/>
    </xf>
    <xf numFmtId="0" fontId="27" fillId="0" borderId="145" applyAlignment="1" pivotButton="0" quotePrefix="0" xfId="0">
      <alignment horizontal="left" vertical="center"/>
    </xf>
    <xf numFmtId="0" fontId="27" fillId="2" borderId="145" applyAlignment="1" pivotButton="0" quotePrefix="0" xfId="0">
      <alignment horizontal="left" vertical="center"/>
    </xf>
    <xf numFmtId="167" fontId="27" fillId="0" borderId="147" applyAlignment="1" pivotButton="0" quotePrefix="0" xfId="6">
      <alignment horizontal="center" vertical="center"/>
    </xf>
    <xf numFmtId="3" fontId="27" fillId="0" borderId="147" applyAlignment="1" pivotButton="0" quotePrefix="0" xfId="6">
      <alignment horizontal="center" vertical="center"/>
    </xf>
    <xf numFmtId="0" fontId="27" fillId="0" borderId="148" applyAlignment="1" pivotButton="0" quotePrefix="0" xfId="0">
      <alignment horizontal="center" vertical="center"/>
    </xf>
    <xf numFmtId="0" fontId="27" fillId="2" borderId="149" applyAlignment="1" pivotButton="0" quotePrefix="0" xfId="0">
      <alignment horizontal="center" vertical="center"/>
    </xf>
    <xf numFmtId="0" fontId="27" fillId="0" borderId="149" applyAlignment="1" pivotButton="0" quotePrefix="0" xfId="0">
      <alignment horizontal="center" vertical="center"/>
    </xf>
    <xf numFmtId="0" fontId="27" fillId="0" borderId="149" applyAlignment="1" pivotButton="0" quotePrefix="0" xfId="0">
      <alignment horizontal="left" vertical="center"/>
    </xf>
    <xf numFmtId="0" fontId="27" fillId="2" borderId="149" applyAlignment="1" pivotButton="0" quotePrefix="0" xfId="0">
      <alignment horizontal="left" vertical="center"/>
    </xf>
    <xf numFmtId="167" fontId="27" fillId="0" borderId="150" applyAlignment="1" pivotButton="0" quotePrefix="0" xfId="6">
      <alignment horizontal="center" vertical="center"/>
    </xf>
    <xf numFmtId="3" fontId="27" fillId="0" borderId="150" applyAlignment="1" pivotButton="0" quotePrefix="0" xfId="6">
      <alignment horizontal="center" vertical="center"/>
    </xf>
    <xf numFmtId="3" fontId="27" fillId="0" borderId="149" applyAlignment="1" pivotButton="0" quotePrefix="0" xfId="0">
      <alignment horizontal="center" vertical="center"/>
    </xf>
    <xf numFmtId="0" fontId="27" fillId="0" borderId="151" applyAlignment="1" pivotButton="0" quotePrefix="0" xfId="0">
      <alignment horizontal="center" vertical="center"/>
    </xf>
    <xf numFmtId="0" fontId="27" fillId="2" borderId="152" applyAlignment="1" pivotButton="0" quotePrefix="0" xfId="0">
      <alignment horizontal="center" vertical="center"/>
    </xf>
    <xf numFmtId="0" fontId="27" fillId="0" borderId="152" applyAlignment="1" pivotButton="0" quotePrefix="0" xfId="0">
      <alignment horizontal="center" vertical="center"/>
    </xf>
    <xf numFmtId="0" fontId="27" fillId="0" borderId="152" applyAlignment="1" pivotButton="0" quotePrefix="0" xfId="0">
      <alignment horizontal="left" vertical="center"/>
    </xf>
    <xf numFmtId="0" fontId="27" fillId="2" borderId="152" applyAlignment="1" pivotButton="0" quotePrefix="0" xfId="0">
      <alignment horizontal="left" vertical="center"/>
    </xf>
    <xf numFmtId="167" fontId="27" fillId="0" borderId="153" applyAlignment="1" pivotButton="0" quotePrefix="0" xfId="6">
      <alignment horizontal="center" vertical="center"/>
    </xf>
    <xf numFmtId="3" fontId="27" fillId="0" borderId="153" applyAlignment="1" pivotButton="0" quotePrefix="0" xfId="6">
      <alignment horizontal="center" vertical="center"/>
    </xf>
    <xf numFmtId="3" fontId="27" fillId="0" borderId="152" applyAlignment="1" pivotButton="0" quotePrefix="0" xfId="0">
      <alignment horizontal="center" vertical="center"/>
    </xf>
    <xf numFmtId="0" fontId="27" fillId="0" borderId="154" applyAlignment="1" pivotButton="0" quotePrefix="0" xfId="0">
      <alignment horizontal="center" vertical="center"/>
    </xf>
    <xf numFmtId="0" fontId="27" fillId="4" borderId="155" applyAlignment="1" pivotButton="0" quotePrefix="0" xfId="0">
      <alignment horizontal="center" vertical="center"/>
    </xf>
    <xf numFmtId="0" fontId="27" fillId="0" borderId="155" applyAlignment="1" pivotButton="0" quotePrefix="0" xfId="0">
      <alignment horizontal="center" vertical="center"/>
    </xf>
    <xf numFmtId="0" fontId="27" fillId="0" borderId="155" applyAlignment="1" pivotButton="0" quotePrefix="0" xfId="0">
      <alignment horizontal="left" vertical="center"/>
    </xf>
    <xf numFmtId="0" fontId="27" fillId="4" borderId="155" applyAlignment="1" pivotButton="0" quotePrefix="0" xfId="0">
      <alignment horizontal="left" vertical="center"/>
    </xf>
    <xf numFmtId="167" fontId="27" fillId="0" borderId="156" applyAlignment="1" pivotButton="0" quotePrefix="0" xfId="6">
      <alignment horizontal="center" vertical="center"/>
    </xf>
    <xf numFmtId="3" fontId="27" fillId="0" borderId="156" applyAlignment="1" pivotButton="0" quotePrefix="0" xfId="6">
      <alignment horizontal="center" vertical="center"/>
    </xf>
    <xf numFmtId="3" fontId="27" fillId="0" borderId="155" applyAlignment="1" pivotButton="0" quotePrefix="0" xfId="0">
      <alignment horizontal="center" vertical="center"/>
    </xf>
    <xf numFmtId="0" fontId="27" fillId="0" borderId="157" applyAlignment="1" pivotButton="0" quotePrefix="0" xfId="0">
      <alignment horizontal="center" vertical="center"/>
    </xf>
    <xf numFmtId="0" fontId="27" fillId="4" borderId="149" applyAlignment="1" pivotButton="0" quotePrefix="0" xfId="0">
      <alignment horizontal="center" vertical="center"/>
    </xf>
    <xf numFmtId="0" fontId="27" fillId="4" borderId="149" applyAlignment="1" pivotButton="0" quotePrefix="0" xfId="0">
      <alignment horizontal="left" vertical="center"/>
    </xf>
    <xf numFmtId="0" fontId="27" fillId="0" borderId="158" applyAlignment="1" pivotButton="0" quotePrefix="0" xfId="0">
      <alignment horizontal="center" vertical="center"/>
    </xf>
    <xf numFmtId="0" fontId="27" fillId="0" borderId="159" applyAlignment="1" pivotButton="0" quotePrefix="0" xfId="0">
      <alignment horizontal="center" vertical="center"/>
    </xf>
    <xf numFmtId="0" fontId="27" fillId="4" borderId="124" applyAlignment="1" pivotButton="0" quotePrefix="0" xfId="0">
      <alignment horizontal="center" vertical="center"/>
    </xf>
    <xf numFmtId="0" fontId="29" fillId="4" borderId="124" applyAlignment="1" pivotButton="0" quotePrefix="0" xfId="0">
      <alignment horizontal="left" vertical="center"/>
    </xf>
    <xf numFmtId="0" fontId="29" fillId="4" borderId="127" applyAlignment="1" pivotButton="0" quotePrefix="0" xfId="0">
      <alignment horizontal="left" vertical="center"/>
    </xf>
    <xf numFmtId="0" fontId="29" fillId="4" borderId="130" applyAlignment="1" pivotButton="0" quotePrefix="0" xfId="0">
      <alignment horizontal="left" vertical="center"/>
    </xf>
    <xf numFmtId="0" fontId="29" fillId="4" borderId="137" applyAlignment="1" pivotButton="0" quotePrefix="0" xfId="0">
      <alignment horizontal="left" vertical="center"/>
    </xf>
    <xf numFmtId="0" fontId="27" fillId="2" borderId="120" applyAlignment="1" pivotButton="0" quotePrefix="0" xfId="0">
      <alignment horizontal="center" vertical="center"/>
    </xf>
    <xf numFmtId="0" fontId="27" fillId="2" borderId="120" applyAlignment="1" pivotButton="0" quotePrefix="0" xfId="0">
      <alignment horizontal="left" vertical="center"/>
    </xf>
    <xf numFmtId="0" fontId="29" fillId="4" borderId="120" applyAlignment="1" pivotButton="0" quotePrefix="0" xfId="0">
      <alignment horizontal="left" vertical="center"/>
    </xf>
    <xf numFmtId="0" fontId="27" fillId="2" borderId="155" applyAlignment="1" pivotButton="0" quotePrefix="0" xfId="0">
      <alignment horizontal="center" vertical="center"/>
    </xf>
    <xf numFmtId="0" fontId="27" fillId="2" borderId="155" applyAlignment="1" pivotButton="0" quotePrefix="0" xfId="0">
      <alignment horizontal="left" vertical="center"/>
    </xf>
    <xf numFmtId="0" fontId="29" fillId="2" borderId="155" applyAlignment="1" pivotButton="0" quotePrefix="0" xfId="0">
      <alignment horizontal="left" vertical="center"/>
    </xf>
    <xf numFmtId="0" fontId="29" fillId="2" borderId="149" applyAlignment="1" pivotButton="0" quotePrefix="0" xfId="0">
      <alignment horizontal="left" vertical="center"/>
    </xf>
    <xf numFmtId="0" fontId="29" fillId="2" borderId="152" applyAlignment="1" pivotButton="0" quotePrefix="0" xfId="0">
      <alignment horizontal="left" vertical="center"/>
    </xf>
    <xf numFmtId="2" fontId="27" fillId="2" borderId="155" applyAlignment="1" pivotButton="0" quotePrefix="0" xfId="0">
      <alignment horizontal="center" vertical="center"/>
    </xf>
    <xf numFmtId="2" fontId="27" fillId="2" borderId="155" applyAlignment="1" pivotButton="0" quotePrefix="0" xfId="0">
      <alignment horizontal="left" vertical="center"/>
    </xf>
    <xf numFmtId="2" fontId="27" fillId="2" borderId="149" applyAlignment="1" pivotButton="0" quotePrefix="0" xfId="0">
      <alignment horizontal="center" vertical="center"/>
    </xf>
    <xf numFmtId="2" fontId="27" fillId="2" borderId="149" applyAlignment="1" pivotButton="0" quotePrefix="0" xfId="0">
      <alignment horizontal="left" vertical="center"/>
    </xf>
    <xf numFmtId="2" fontId="29" fillId="2" borderId="149" applyAlignment="1" pivotButton="0" quotePrefix="0" xfId="0">
      <alignment horizontal="left" vertical="center"/>
    </xf>
    <xf numFmtId="2" fontId="27" fillId="0" borderId="149" applyAlignment="1" pivotButton="0" quotePrefix="0" xfId="0">
      <alignment horizontal="center" vertical="center"/>
    </xf>
    <xf numFmtId="2" fontId="27" fillId="0" borderId="150" applyAlignment="1" pivotButton="0" quotePrefix="0" xfId="6">
      <alignment horizontal="center" vertical="center"/>
    </xf>
    <xf numFmtId="1" fontId="27" fillId="0" borderId="149" applyAlignment="1" pivotButton="0" quotePrefix="0" xfId="0">
      <alignment horizontal="center" vertical="center"/>
    </xf>
    <xf numFmtId="2" fontId="27" fillId="0" borderId="151" applyAlignment="1" pivotButton="0" quotePrefix="0" xfId="0">
      <alignment horizontal="center" vertical="center"/>
    </xf>
    <xf numFmtId="2" fontId="27" fillId="2" borderId="152" applyAlignment="1" pivotButton="0" quotePrefix="0" xfId="0">
      <alignment horizontal="center" vertical="center"/>
    </xf>
    <xf numFmtId="2" fontId="27" fillId="2" borderId="152" applyAlignment="1" pivotButton="0" quotePrefix="0" xfId="0">
      <alignment horizontal="left" vertical="center"/>
    </xf>
    <xf numFmtId="2" fontId="29" fillId="2" borderId="152" applyAlignment="1" pivotButton="0" quotePrefix="0" xfId="0">
      <alignment horizontal="left" vertical="center"/>
    </xf>
    <xf numFmtId="2" fontId="27" fillId="0" borderId="152" applyAlignment="1" pivotButton="0" quotePrefix="0" xfId="0">
      <alignment horizontal="center" vertical="center"/>
    </xf>
    <xf numFmtId="2" fontId="27" fillId="0" borderId="153" applyAlignment="1" pivotButton="0" quotePrefix="0" xfId="6">
      <alignment horizontal="center" vertical="center"/>
    </xf>
    <xf numFmtId="1" fontId="27" fillId="0" borderId="152" applyAlignment="1" pivotButton="0" quotePrefix="0" xfId="0">
      <alignment horizontal="center" vertical="center"/>
    </xf>
    <xf numFmtId="2" fontId="27" fillId="0" borderId="154" applyAlignment="1" pivotButton="0" quotePrefix="0" xfId="0">
      <alignment horizontal="center" vertical="center"/>
    </xf>
    <xf numFmtId="0" fontId="29" fillId="2" borderId="124" applyAlignment="1" pivotButton="0" quotePrefix="0" xfId="0">
      <alignment horizontal="left" vertical="center"/>
    </xf>
    <xf numFmtId="0" fontId="29" fillId="2" borderId="127" applyAlignment="1" pivotButton="0" quotePrefix="0" xfId="0">
      <alignment horizontal="left" vertical="center"/>
    </xf>
    <xf numFmtId="0" fontId="29" fillId="2" borderId="121" applyAlignment="1" pivotButton="0" quotePrefix="0" xfId="0">
      <alignment horizontal="left" vertical="center"/>
    </xf>
    <xf numFmtId="167" fontId="27" fillId="2" borderId="125" applyAlignment="1" pivotButton="0" quotePrefix="0" xfId="6">
      <alignment horizontal="center" vertical="center"/>
    </xf>
    <xf numFmtId="0" fontId="29" fillId="2" borderId="140" applyAlignment="1" pivotButton="0" quotePrefix="0" xfId="0">
      <alignment horizontal="left" vertical="center"/>
    </xf>
    <xf numFmtId="167" fontId="27" fillId="2" borderId="141" applyAlignment="1" pivotButton="0" quotePrefix="0" xfId="6">
      <alignment horizontal="center" vertical="center"/>
    </xf>
    <xf numFmtId="167" fontId="27" fillId="16" borderId="141" applyAlignment="1" pivotButton="0" quotePrefix="0" xfId="6">
      <alignment horizontal="center" vertical="center"/>
    </xf>
    <xf numFmtId="167" fontId="27" fillId="2" borderId="128" applyAlignment="1" pivotButton="0" quotePrefix="0" xfId="6">
      <alignment horizontal="center" vertical="center"/>
    </xf>
    <xf numFmtId="0" fontId="29" fillId="2" borderId="137" applyAlignment="1" pivotButton="0" quotePrefix="0" xfId="0">
      <alignment horizontal="left" vertical="center"/>
    </xf>
    <xf numFmtId="3" fontId="27" fillId="4" borderId="163" applyAlignment="1" pivotButton="0" quotePrefix="0" xfId="0">
      <alignment horizontal="center" vertical="center"/>
    </xf>
    <xf numFmtId="3" fontId="27" fillId="4" borderId="164" applyAlignment="1" pivotButton="0" quotePrefix="0" xfId="0">
      <alignment horizontal="center" vertical="center"/>
    </xf>
    <xf numFmtId="167" fontId="0" fillId="0" borderId="0" pivotButton="0" quotePrefix="0" xfId="0"/>
    <xf numFmtId="3" fontId="27" fillId="0" borderId="0" applyAlignment="1" pivotButton="0" quotePrefix="0" xfId="0">
      <alignment horizontal="center" vertical="center"/>
    </xf>
    <xf numFmtId="167" fontId="27" fillId="0" borderId="0" applyAlignment="1" pivotButton="0" quotePrefix="0" xfId="0">
      <alignment horizontal="center" vertical="center"/>
    </xf>
    <xf numFmtId="49" fontId="24" fillId="21" borderId="68" applyAlignment="1" pivotButton="0" quotePrefix="0" xfId="0">
      <alignment horizontal="center" vertical="center"/>
    </xf>
    <xf numFmtId="167" fontId="24" fillId="21" borderId="68" applyAlignment="1" pivotButton="0" quotePrefix="0" xfId="0">
      <alignment horizontal="right" vertical="center"/>
    </xf>
    <xf numFmtId="49" fontId="33" fillId="3" borderId="68" applyAlignment="1" pivotButton="0" quotePrefix="0" xfId="0">
      <alignment horizontal="center" vertical="center"/>
    </xf>
    <xf numFmtId="0" fontId="27" fillId="0" borderId="0" pivotButton="0" quotePrefix="0" xfId="0"/>
    <xf numFmtId="49" fontId="24" fillId="2" borderId="68" applyAlignment="1" pivotButton="0" quotePrefix="0" xfId="0">
      <alignment horizontal="center" vertical="center"/>
    </xf>
    <xf numFmtId="49" fontId="24" fillId="2" borderId="68" applyAlignment="1" pivotButton="0" quotePrefix="0" xfId="0">
      <alignment horizontal="left" vertical="center"/>
    </xf>
    <xf numFmtId="1" fontId="24" fillId="2" borderId="68" applyAlignment="1" pivotButton="0" quotePrefix="0" xfId="0">
      <alignment horizontal="right" vertical="center"/>
    </xf>
    <xf numFmtId="0" fontId="0" fillId="2" borderId="0" pivotButton="0" quotePrefix="0" xfId="0"/>
    <xf numFmtId="1" fontId="33" fillId="3" borderId="68" applyAlignment="1" pivotButton="0" quotePrefix="0" xfId="0">
      <alignment horizontal="center" vertical="center"/>
    </xf>
    <xf numFmtId="167" fontId="33" fillId="3" borderId="68" applyAlignment="1" pivotButton="0" quotePrefix="0" xfId="0">
      <alignment horizontal="center" vertical="center"/>
    </xf>
    <xf numFmtId="1" fontId="27" fillId="0" borderId="0" pivotButton="0" quotePrefix="0" xfId="0"/>
    <xf numFmtId="0" fontId="35" fillId="2" borderId="0" applyAlignment="1" pivotButton="0" quotePrefix="0" xfId="8">
      <alignment vertical="center"/>
    </xf>
    <xf numFmtId="0" fontId="36" fillId="2" borderId="0" applyAlignment="1" pivotButton="0" quotePrefix="0" xfId="8">
      <alignment vertical="center"/>
    </xf>
    <xf numFmtId="0" fontId="37" fillId="2" borderId="0" applyAlignment="1" pivotButton="0" quotePrefix="0" xfId="8">
      <alignment horizontal="center" vertical="center"/>
    </xf>
    <xf numFmtId="0" fontId="37" fillId="2" borderId="0" applyAlignment="1" pivotButton="0" quotePrefix="0" xfId="8">
      <alignment horizontal="center"/>
    </xf>
    <xf numFmtId="0" fontId="38" fillId="2" borderId="0" applyAlignment="1" pivotButton="0" quotePrefix="0" xfId="8">
      <alignment vertical="center"/>
    </xf>
    <xf numFmtId="0" fontId="39" fillId="0" borderId="166" applyAlignment="1" pivotButton="0" quotePrefix="0" xfId="8">
      <alignment horizontal="center" vertical="center"/>
    </xf>
    <xf numFmtId="0" fontId="1" fillId="0" borderId="0" applyAlignment="1" pivotButton="0" quotePrefix="0" xfId="8">
      <alignment horizontal="center" vertical="center"/>
    </xf>
    <xf numFmtId="0" fontId="1" fillId="0" borderId="0" applyAlignment="1" pivotButton="0" quotePrefix="0" xfId="8">
      <alignment horizontal="center"/>
    </xf>
    <xf numFmtId="0" fontId="38" fillId="0" borderId="0" applyAlignment="1" pivotButton="0" quotePrefix="0" xfId="8">
      <alignment horizontal="center" vertical="center"/>
    </xf>
    <xf numFmtId="0" fontId="1" fillId="2" borderId="0" applyAlignment="1" pivotButton="0" quotePrefix="0" xfId="8">
      <alignment horizontal="center"/>
    </xf>
    <xf numFmtId="0" fontId="0" fillId="2" borderId="0" applyAlignment="1" pivotButton="0" quotePrefix="0" xfId="8">
      <alignment horizontal="center"/>
    </xf>
    <xf numFmtId="170" fontId="38" fillId="22" borderId="176" applyAlignment="1" pivotButton="0" quotePrefix="0" xfId="9">
      <alignment horizontal="center" vertical="center" wrapText="1"/>
    </xf>
    <xf numFmtId="170" fontId="38" fillId="23" borderId="176" applyAlignment="1" pivotButton="0" quotePrefix="0" xfId="9">
      <alignment horizontal="center" vertical="center" wrapText="1"/>
    </xf>
    <xf numFmtId="0" fontId="38" fillId="8" borderId="175" applyAlignment="1" pivotButton="0" quotePrefix="0" xfId="9">
      <alignment horizontal="center" vertical="center" wrapText="1"/>
    </xf>
    <xf numFmtId="170" fontId="38" fillId="10" borderId="175" applyAlignment="1" pivotButton="0" quotePrefix="0" xfId="9">
      <alignment horizontal="center" vertical="center" wrapText="1"/>
    </xf>
    <xf numFmtId="170" fontId="38" fillId="14" borderId="175" applyAlignment="1" pivotButton="0" quotePrefix="0" xfId="9">
      <alignment horizontal="center" vertical="center" wrapText="1"/>
    </xf>
    <xf numFmtId="0" fontId="38" fillId="15" borderId="175" applyAlignment="1" pivotButton="0" quotePrefix="0" xfId="9">
      <alignment horizontal="center" vertical="center" wrapText="1"/>
    </xf>
    <xf numFmtId="0" fontId="26" fillId="6" borderId="24" applyAlignment="1" pivotButton="0" quotePrefix="0" xfId="9">
      <alignment horizontal="center" vertical="center" wrapText="1"/>
    </xf>
    <xf numFmtId="170" fontId="38" fillId="22" borderId="168" applyAlignment="1" pivotButton="0" quotePrefix="0" xfId="9">
      <alignment horizontal="center" vertical="center" wrapText="1"/>
    </xf>
    <xf numFmtId="170" fontId="38" fillId="10" borderId="24" applyAlignment="1" pivotButton="0" quotePrefix="0" xfId="9">
      <alignment horizontal="center" vertical="center" wrapText="1"/>
    </xf>
    <xf numFmtId="170" fontId="38" fillId="14" borderId="24" applyAlignment="1" pivotButton="0" quotePrefix="0" xfId="9">
      <alignment horizontal="center" vertical="center" wrapText="1"/>
    </xf>
    <xf numFmtId="0" fontId="38" fillId="15" borderId="24" applyAlignment="1" pivotButton="0" quotePrefix="0" xfId="9">
      <alignment horizontal="center" vertical="center" wrapText="1"/>
    </xf>
    <xf numFmtId="0" fontId="26" fillId="6" borderId="175" applyAlignment="1" pivotButton="0" quotePrefix="0" xfId="9">
      <alignment horizontal="center" vertical="center" wrapText="1"/>
    </xf>
    <xf numFmtId="170" fontId="38" fillId="22" borderId="24" applyAlignment="1" pivotButton="0" quotePrefix="0" xfId="9">
      <alignment horizontal="center" vertical="center" wrapText="1"/>
    </xf>
    <xf numFmtId="170" fontId="38" fillId="23" borderId="24" applyAlignment="1" pivotButton="0" quotePrefix="0" xfId="9">
      <alignment horizontal="center" vertical="center" wrapText="1"/>
    </xf>
    <xf numFmtId="0" fontId="38" fillId="8" borderId="24" applyAlignment="1" pivotButton="0" quotePrefix="0" xfId="9">
      <alignment horizontal="center" vertical="center" wrapText="1"/>
    </xf>
    <xf numFmtId="170" fontId="38" fillId="7" borderId="24" applyAlignment="1" pivotButton="0" quotePrefix="0" xfId="9">
      <alignment horizontal="center" vertical="center" wrapText="1"/>
    </xf>
    <xf numFmtId="0" fontId="38" fillId="7" borderId="177" applyAlignment="1" pivotButton="0" quotePrefix="0" xfId="9">
      <alignment horizontal="center" vertical="center" wrapText="1"/>
    </xf>
    <xf numFmtId="0" fontId="38" fillId="7" borderId="24" applyAlignment="1" pivotButton="0" quotePrefix="0" xfId="9">
      <alignment horizontal="center" vertical="center" wrapText="1"/>
    </xf>
    <xf numFmtId="0" fontId="26" fillId="6" borderId="178" applyAlignment="1" pivotButton="0" quotePrefix="0" xfId="9">
      <alignment horizontal="center" vertical="center" wrapText="1"/>
    </xf>
    <xf numFmtId="170" fontId="38" fillId="22" borderId="179" applyAlignment="1" pivotButton="0" quotePrefix="0" xfId="9">
      <alignment horizontal="center" vertical="center" wrapText="1"/>
    </xf>
    <xf numFmtId="170" fontId="38" fillId="10" borderId="180" applyAlignment="1" pivotButton="0" quotePrefix="0" xfId="9">
      <alignment horizontal="center" vertical="center" wrapText="1"/>
    </xf>
    <xf numFmtId="170" fontId="38" fillId="14" borderId="180" applyAlignment="1" pivotButton="0" quotePrefix="0" xfId="9">
      <alignment horizontal="center" vertical="center" wrapText="1"/>
    </xf>
    <xf numFmtId="0" fontId="38" fillId="15" borderId="180" applyAlignment="1" pivotButton="0" quotePrefix="0" xfId="9">
      <alignment horizontal="center" vertical="center" wrapText="1"/>
    </xf>
    <xf numFmtId="0" fontId="26" fillId="6" borderId="180" applyAlignment="1" pivotButton="0" quotePrefix="0" xfId="9">
      <alignment horizontal="center" vertical="center" wrapText="1"/>
    </xf>
    <xf numFmtId="170" fontId="38" fillId="8" borderId="24" applyAlignment="1" pivotButton="0" quotePrefix="0" xfId="9">
      <alignment horizontal="center" vertical="center" wrapText="1"/>
    </xf>
    <xf numFmtId="0" fontId="38" fillId="7" borderId="24" applyAlignment="1" pivotButton="0" quotePrefix="0" xfId="9">
      <alignment horizontal="center" vertical="center"/>
    </xf>
    <xf numFmtId="0" fontId="38" fillId="24" borderId="24" applyAlignment="1" pivotButton="0" quotePrefix="0" xfId="9">
      <alignment horizontal="center" vertical="center" wrapText="1"/>
    </xf>
    <xf numFmtId="0" fontId="27" fillId="2" borderId="0" applyAlignment="1" pivotButton="0" quotePrefix="0" xfId="8">
      <alignment horizontal="center" vertical="center" wrapText="1"/>
    </xf>
    <xf numFmtId="0" fontId="38" fillId="15" borderId="181" applyAlignment="1" pivotButton="0" quotePrefix="0" xfId="9">
      <alignment horizontal="center" vertical="center" wrapText="1"/>
    </xf>
    <xf numFmtId="0" fontId="26" fillId="6" borderId="181" applyAlignment="1" pivotButton="0" quotePrefix="0" xfId="9">
      <alignment horizontal="center" vertical="center" wrapText="1"/>
    </xf>
    <xf numFmtId="0" fontId="26" fillId="6" borderId="182" applyAlignment="1" pivotButton="0" quotePrefix="0" xfId="9">
      <alignment horizontal="center" vertical="center" wrapText="1"/>
    </xf>
    <xf numFmtId="0" fontId="34" fillId="0" borderId="184" applyAlignment="1" pivotButton="0" quotePrefix="0" xfId="8">
      <alignment horizontal="center" vertical="center"/>
    </xf>
    <xf numFmtId="170" fontId="41" fillId="0" borderId="184" applyAlignment="1" pivotButton="0" quotePrefix="0" xfId="9">
      <alignment horizontal="left" vertical="center"/>
    </xf>
    <xf numFmtId="166" fontId="42" fillId="0" borderId="184" applyAlignment="1" pivotButton="0" quotePrefix="0" xfId="9">
      <alignment horizontal="center" vertical="center"/>
    </xf>
    <xf numFmtId="170" fontId="0" fillId="0" borderId="180" applyAlignment="1" pivotButton="0" quotePrefix="0" xfId="9">
      <alignment horizontal="center" vertical="center"/>
    </xf>
    <xf numFmtId="170" fontId="0" fillId="0" borderId="184" applyAlignment="1" pivotButton="0" quotePrefix="0" xfId="9">
      <alignment horizontal="center" vertical="center"/>
    </xf>
    <xf numFmtId="170" fontId="0" fillId="0" borderId="185" applyAlignment="1" pivotButton="0" quotePrefix="0" xfId="9">
      <alignment horizontal="center" vertical="center"/>
    </xf>
    <xf numFmtId="170" fontId="0" fillId="0" borderId="186" applyAlignment="1" pivotButton="0" quotePrefix="0" xfId="9">
      <alignment horizontal="center" vertical="center"/>
    </xf>
    <xf numFmtId="170" fontId="0" fillId="0" borderId="187" applyAlignment="1" pivotButton="0" quotePrefix="0" xfId="9">
      <alignment horizontal="center" vertical="center"/>
    </xf>
    <xf numFmtId="170" fontId="0" fillId="0" borderId="188" applyAlignment="1" pivotButton="0" quotePrefix="0" xfId="9">
      <alignment horizontal="center" vertical="center"/>
    </xf>
    <xf numFmtId="170" fontId="0" fillId="0" borderId="189" applyAlignment="1" pivotButton="0" quotePrefix="0" xfId="9">
      <alignment horizontal="center" vertical="center"/>
    </xf>
    <xf numFmtId="170" fontId="0" fillId="0" borderId="190" applyAlignment="1" pivotButton="0" quotePrefix="0" xfId="9">
      <alignment horizontal="center" vertical="center"/>
    </xf>
    <xf numFmtId="170" fontId="0" fillId="0" borderId="191" applyAlignment="1" pivotButton="0" quotePrefix="0" xfId="9">
      <alignment horizontal="center" vertical="center"/>
    </xf>
    <xf numFmtId="170" fontId="0" fillId="0" borderId="192" applyAlignment="1" pivotButton="0" quotePrefix="0" xfId="9">
      <alignment horizontal="center" vertical="center"/>
    </xf>
    <xf numFmtId="170" fontId="0" fillId="0" borderId="193" applyAlignment="1" pivotButton="0" quotePrefix="0" xfId="9">
      <alignment horizontal="center" vertical="center"/>
    </xf>
    <xf numFmtId="170" fontId="0" fillId="0" borderId="194" applyAlignment="1" pivotButton="0" quotePrefix="0" xfId="9">
      <alignment horizontal="center" vertical="center"/>
    </xf>
    <xf numFmtId="170" fontId="0" fillId="0" borderId="195" applyAlignment="1" pivotButton="0" quotePrefix="0" xfId="9">
      <alignment horizontal="center" vertical="center"/>
    </xf>
    <xf numFmtId="170" fontId="0" fillId="0" borderId="196" applyAlignment="1" pivotButton="0" quotePrefix="0" xfId="9">
      <alignment horizontal="center" vertical="center"/>
    </xf>
    <xf numFmtId="170" fontId="1" fillId="2" borderId="0" applyAlignment="1" pivotButton="0" quotePrefix="0" xfId="8">
      <alignment horizontal="center"/>
    </xf>
    <xf numFmtId="0" fontId="34" fillId="0" borderId="198" applyAlignment="1" pivotButton="0" quotePrefix="0" xfId="8">
      <alignment horizontal="center" vertical="center"/>
    </xf>
    <xf numFmtId="170" fontId="41" fillId="0" borderId="198" applyAlignment="1" pivotButton="0" quotePrefix="0" xfId="9">
      <alignment horizontal="left" vertical="center"/>
    </xf>
    <xf numFmtId="166" fontId="42" fillId="0" borderId="198" applyAlignment="1" pivotButton="0" quotePrefix="0" xfId="9">
      <alignment horizontal="center" vertical="center"/>
    </xf>
    <xf numFmtId="170" fontId="0" fillId="0" borderId="199" applyAlignment="1" pivotButton="0" quotePrefix="0" xfId="9">
      <alignment horizontal="center" vertical="center"/>
    </xf>
    <xf numFmtId="170" fontId="0" fillId="0" borderId="200" applyAlignment="1" pivotButton="0" quotePrefix="0" xfId="9">
      <alignment horizontal="center" vertical="center"/>
    </xf>
    <xf numFmtId="170" fontId="0" fillId="0" borderId="201" applyAlignment="1" pivotButton="0" quotePrefix="0" xfId="9">
      <alignment horizontal="center" vertical="center"/>
    </xf>
    <xf numFmtId="170" fontId="0" fillId="0" borderId="202" applyAlignment="1" pivotButton="0" quotePrefix="0" xfId="9">
      <alignment horizontal="center" vertical="center"/>
    </xf>
    <xf numFmtId="170" fontId="0" fillId="0" borderId="203" applyAlignment="1" pivotButton="0" quotePrefix="0" xfId="9">
      <alignment horizontal="center" vertical="center"/>
    </xf>
    <xf numFmtId="170" fontId="0" fillId="0" borderId="204" applyAlignment="1" pivotButton="0" quotePrefix="0" xfId="9">
      <alignment horizontal="center" vertical="center"/>
    </xf>
    <xf numFmtId="170" fontId="0" fillId="0" borderId="205" applyAlignment="1" pivotButton="0" quotePrefix="0" xfId="9">
      <alignment horizontal="center" vertical="center"/>
    </xf>
    <xf numFmtId="170" fontId="0" fillId="0" borderId="206" applyAlignment="1" pivotButton="0" quotePrefix="0" xfId="9">
      <alignment horizontal="center" vertical="center"/>
    </xf>
    <xf numFmtId="0" fontId="34" fillId="0" borderId="199" applyAlignment="1" pivotButton="0" quotePrefix="0" xfId="8">
      <alignment horizontal="center" vertical="center"/>
    </xf>
    <xf numFmtId="170" fontId="41" fillId="0" borderId="199" applyAlignment="1" pivotButton="0" quotePrefix="0" xfId="9">
      <alignment horizontal="left" vertical="center"/>
    </xf>
    <xf numFmtId="166" fontId="42" fillId="0" borderId="199" applyAlignment="1" pivotButton="0" quotePrefix="0" xfId="9">
      <alignment horizontal="center" vertical="center"/>
    </xf>
    <xf numFmtId="170" fontId="0" fillId="0" borderId="198" applyAlignment="1" pivotButton="0" quotePrefix="0" xfId="9">
      <alignment horizontal="center" vertical="center"/>
    </xf>
    <xf numFmtId="170" fontId="0" fillId="0" borderId="207" applyAlignment="1" pivotButton="0" quotePrefix="0" xfId="9">
      <alignment horizontal="center" vertical="center"/>
    </xf>
    <xf numFmtId="170" fontId="0" fillId="0" borderId="208" applyAlignment="1" pivotButton="0" quotePrefix="0" xfId="9">
      <alignment horizontal="center" vertical="center"/>
    </xf>
    <xf numFmtId="170" fontId="0" fillId="0" borderId="209" applyAlignment="1" pivotButton="0" quotePrefix="0" xfId="9">
      <alignment horizontal="center" vertical="center"/>
    </xf>
    <xf numFmtId="170" fontId="0" fillId="0" borderId="210" applyAlignment="1" pivotButton="0" quotePrefix="0" xfId="9">
      <alignment horizontal="center" vertical="center"/>
    </xf>
    <xf numFmtId="170" fontId="0" fillId="0" borderId="211" applyAlignment="1" pivotButton="0" quotePrefix="0" xfId="9">
      <alignment horizontal="center" vertical="center"/>
    </xf>
    <xf numFmtId="170" fontId="0" fillId="0" borderId="212" applyAlignment="1" pivotButton="0" quotePrefix="0" xfId="9">
      <alignment horizontal="center" vertical="center"/>
    </xf>
    <xf numFmtId="170" fontId="0" fillId="0" borderId="213" applyAlignment="1" pivotButton="0" quotePrefix="0" xfId="9">
      <alignment horizontal="center" vertical="center"/>
    </xf>
    <xf numFmtId="170" fontId="0" fillId="0" borderId="214" applyAlignment="1" pivotButton="0" quotePrefix="0" xfId="9">
      <alignment horizontal="center" vertical="center"/>
    </xf>
    <xf numFmtId="170" fontId="0" fillId="0" borderId="215" applyAlignment="1" pivotButton="0" quotePrefix="0" xfId="9">
      <alignment horizontal="center" vertical="center"/>
    </xf>
    <xf numFmtId="170" fontId="0" fillId="0" borderId="216" applyAlignment="1" pivotButton="0" quotePrefix="0" xfId="9">
      <alignment horizontal="center" vertical="center"/>
    </xf>
    <xf numFmtId="170" fontId="0" fillId="0" borderId="217" applyAlignment="1" pivotButton="0" quotePrefix="0" xfId="9">
      <alignment horizontal="center" vertical="center"/>
    </xf>
    <xf numFmtId="170" fontId="0" fillId="0" borderId="218" applyAlignment="1" pivotButton="0" quotePrefix="0" xfId="9">
      <alignment horizontal="center" vertical="center"/>
    </xf>
    <xf numFmtId="170" fontId="0" fillId="0" borderId="219" applyAlignment="1" pivotButton="0" quotePrefix="0" xfId="9">
      <alignment horizontal="center" vertical="center"/>
    </xf>
    <xf numFmtId="171" fontId="0" fillId="0" borderId="204" applyAlignment="1" pivotButton="0" quotePrefix="0" xfId="9">
      <alignment horizontal="center" vertical="center"/>
    </xf>
    <xf numFmtId="170" fontId="0" fillId="0" borderId="220" applyAlignment="1" pivotButton="0" quotePrefix="0" xfId="9">
      <alignment horizontal="center" vertical="center"/>
    </xf>
    <xf numFmtId="166" fontId="42" fillId="0" borderId="200" applyAlignment="1" pivotButton="0" quotePrefix="0" xfId="9">
      <alignment horizontal="center" vertical="center"/>
    </xf>
    <xf numFmtId="49" fontId="40" fillId="9" borderId="183" applyAlignment="1" pivotButton="0" quotePrefix="0" xfId="0">
      <alignment horizontal="center" vertical="center"/>
    </xf>
    <xf numFmtId="0" fontId="34" fillId="0" borderId="221" applyAlignment="1" pivotButton="0" quotePrefix="0" xfId="8">
      <alignment horizontal="center" vertical="center"/>
    </xf>
    <xf numFmtId="170" fontId="41" fillId="0" borderId="221" applyAlignment="1" pivotButton="0" quotePrefix="0" xfId="9">
      <alignment horizontal="left" vertical="center"/>
    </xf>
    <xf numFmtId="166" fontId="42" fillId="0" borderId="221" applyAlignment="1" pivotButton="0" quotePrefix="0" xfId="9">
      <alignment horizontal="center" vertical="center"/>
    </xf>
    <xf numFmtId="170" fontId="0" fillId="0" borderId="24" applyAlignment="1" pivotButton="0" quotePrefix="0" xfId="9">
      <alignment horizontal="center" vertical="center"/>
    </xf>
    <xf numFmtId="170" fontId="0" fillId="0" borderId="221" applyAlignment="1" pivotButton="0" quotePrefix="0" xfId="9">
      <alignment horizontal="center" vertical="center"/>
    </xf>
    <xf numFmtId="170" fontId="0" fillId="0" borderId="222" applyAlignment="1" pivotButton="0" quotePrefix="0" xfId="9">
      <alignment horizontal="center" vertical="center"/>
    </xf>
    <xf numFmtId="170" fontId="0" fillId="0" borderId="177" applyAlignment="1" pivotButton="0" quotePrefix="0" xfId="9">
      <alignment horizontal="center" vertical="center"/>
    </xf>
    <xf numFmtId="170" fontId="0" fillId="0" borderId="112" applyAlignment="1" pivotButton="0" quotePrefix="0" xfId="9">
      <alignment horizontal="center" vertical="center"/>
    </xf>
    <xf numFmtId="170" fontId="0" fillId="0" borderId="223" applyAlignment="1" pivotButton="0" quotePrefix="0" xfId="9">
      <alignment horizontal="center" vertical="center"/>
    </xf>
    <xf numFmtId="170" fontId="0" fillId="0" borderId="224" applyAlignment="1" pivotButton="0" quotePrefix="0" xfId="9">
      <alignment horizontal="center" vertical="center"/>
    </xf>
    <xf numFmtId="170" fontId="0" fillId="0" borderId="183" applyAlignment="1" pivotButton="0" quotePrefix="0" xfId="9">
      <alignment horizontal="center" vertical="center"/>
    </xf>
    <xf numFmtId="170" fontId="0" fillId="0" borderId="197" applyAlignment="1" pivotButton="0" quotePrefix="0" xfId="9">
      <alignment horizontal="center" vertical="center"/>
    </xf>
    <xf numFmtId="0" fontId="34" fillId="0" borderId="213" applyAlignment="1" pivotButton="0" quotePrefix="0" xfId="8">
      <alignment horizontal="center" vertical="center"/>
    </xf>
    <xf numFmtId="170" fontId="41" fillId="0" borderId="213" applyAlignment="1" pivotButton="0" quotePrefix="0" xfId="9">
      <alignment horizontal="left" vertical="center"/>
    </xf>
    <xf numFmtId="166" fontId="42" fillId="0" borderId="213" applyAlignment="1" pivotButton="0" quotePrefix="0" xfId="9">
      <alignment horizontal="center" vertical="center"/>
    </xf>
    <xf numFmtId="170" fontId="0" fillId="0" borderId="225" applyAlignment="1" pivotButton="0" quotePrefix="0" xfId="9">
      <alignment horizontal="center" vertical="center"/>
    </xf>
    <xf numFmtId="170" fontId="0" fillId="0" borderId="226" applyAlignment="1" pivotButton="0" quotePrefix="0" xfId="9">
      <alignment horizontal="center" vertical="center"/>
    </xf>
    <xf numFmtId="170" fontId="0" fillId="0" borderId="227" applyAlignment="1" pivotButton="0" quotePrefix="0" xfId="9">
      <alignment horizontal="center" vertical="center"/>
    </xf>
    <xf numFmtId="0" fontId="34" fillId="0" borderId="193" applyAlignment="1" pivotButton="0" quotePrefix="0" xfId="8">
      <alignment horizontal="center" vertical="center"/>
    </xf>
    <xf numFmtId="170" fontId="41" fillId="0" borderId="193" applyAlignment="1" pivotButton="0" quotePrefix="0" xfId="9">
      <alignment horizontal="left" vertical="center"/>
    </xf>
    <xf numFmtId="166" fontId="42" fillId="0" borderId="193" applyAlignment="1" pivotButton="0" quotePrefix="0" xfId="9">
      <alignment horizontal="center" vertical="center"/>
    </xf>
    <xf numFmtId="170" fontId="0" fillId="0" borderId="228" applyAlignment="1" pivotButton="0" quotePrefix="0" xfId="9">
      <alignment horizontal="center" vertical="center"/>
    </xf>
    <xf numFmtId="170" fontId="0" fillId="0" borderId="229" applyAlignment="1" pivotButton="0" quotePrefix="0" xfId="9">
      <alignment horizontal="center" vertical="center"/>
    </xf>
    <xf numFmtId="170" fontId="0" fillId="0" borderId="176" applyAlignment="1" pivotButton="0" quotePrefix="0" xfId="9">
      <alignment horizontal="center" vertical="center"/>
    </xf>
    <xf numFmtId="170" fontId="0" fillId="0" borderId="230" applyAlignment="1" pivotButton="0" quotePrefix="0" xfId="9">
      <alignment horizontal="center" vertical="center"/>
    </xf>
    <xf numFmtId="170" fontId="0" fillId="0" borderId="231" applyAlignment="1" pivotButton="0" quotePrefix="0" xfId="9">
      <alignment horizontal="center" vertical="center"/>
    </xf>
    <xf numFmtId="170" fontId="0" fillId="0" borderId="232" applyAlignment="1" pivotButton="0" quotePrefix="0" xfId="9">
      <alignment horizontal="center" vertical="center"/>
    </xf>
    <xf numFmtId="170" fontId="41" fillId="0" borderId="189" applyAlignment="1" pivotButton="0" quotePrefix="0" xfId="9">
      <alignment horizontal="left" vertical="center"/>
    </xf>
    <xf numFmtId="166" fontId="42" fillId="0" borderId="189" applyAlignment="1" pivotButton="0" quotePrefix="0" xfId="9">
      <alignment horizontal="center" vertical="center"/>
    </xf>
    <xf numFmtId="170" fontId="0" fillId="0" borderId="233" applyAlignment="1" pivotButton="0" quotePrefix="0" xfId="9">
      <alignment horizontal="center" vertical="center"/>
    </xf>
    <xf numFmtId="170" fontId="0" fillId="0" borderId="234" applyAlignment="1" pivotButton="0" quotePrefix="0" xfId="9">
      <alignment horizontal="center" vertical="center"/>
    </xf>
    <xf numFmtId="170" fontId="0" fillId="0" borderId="235" applyAlignment="1" pivotButton="0" quotePrefix="0" xfId="9">
      <alignment horizontal="center" vertical="center"/>
    </xf>
    <xf numFmtId="171" fontId="0" fillId="0" borderId="201" applyAlignment="1" pivotButton="0" quotePrefix="0" xfId="9">
      <alignment horizontal="center" vertical="center"/>
    </xf>
    <xf numFmtId="170" fontId="0" fillId="0" borderId="236" applyAlignment="1" pivotButton="0" quotePrefix="0" xfId="9">
      <alignment horizontal="center" vertical="center"/>
    </xf>
    <xf numFmtId="0" fontId="34" fillId="0" borderId="215" applyAlignment="1" pivotButton="0" quotePrefix="0" xfId="8">
      <alignment horizontal="center" vertical="center"/>
    </xf>
    <xf numFmtId="170" fontId="41" fillId="0" borderId="215" applyAlignment="1" pivotButton="0" quotePrefix="0" xfId="9">
      <alignment horizontal="left" vertical="center"/>
    </xf>
    <xf numFmtId="166" fontId="42" fillId="0" borderId="215" applyAlignment="1" pivotButton="0" quotePrefix="0" xfId="9">
      <alignment horizontal="center" vertical="center"/>
    </xf>
    <xf numFmtId="170" fontId="0" fillId="0" borderId="237" applyAlignment="1" pivotButton="0" quotePrefix="0" xfId="9">
      <alignment horizontal="center" vertical="center"/>
    </xf>
    <xf numFmtId="170" fontId="0" fillId="0" borderId="179" applyAlignment="1" pivotButton="0" quotePrefix="0" xfId="9">
      <alignment horizontal="center" vertical="center"/>
    </xf>
    <xf numFmtId="49" fontId="40" fillId="9" borderId="223" applyAlignment="1" pivotButton="0" quotePrefix="0" xfId="0">
      <alignment horizontal="center" vertical="center"/>
    </xf>
    <xf numFmtId="0" fontId="34" fillId="0" borderId="189" applyAlignment="1" pivotButton="0" quotePrefix="0" xfId="8">
      <alignment horizontal="center" vertical="center"/>
    </xf>
    <xf numFmtId="171" fontId="0" fillId="0" borderId="191" applyAlignment="1" pivotButton="0" quotePrefix="0" xfId="9">
      <alignment horizontal="center" vertical="center"/>
    </xf>
    <xf numFmtId="171" fontId="0" fillId="0" borderId="176" applyAlignment="1" pivotButton="0" quotePrefix="0" xfId="9">
      <alignment horizontal="center" vertical="center"/>
    </xf>
    <xf numFmtId="171" fontId="0" fillId="0" borderId="192" applyAlignment="1" pivotButton="0" quotePrefix="0" xfId="9">
      <alignment horizontal="center" vertical="center"/>
    </xf>
    <xf numFmtId="171" fontId="0" fillId="0" borderId="209" applyAlignment="1" pivotButton="0" quotePrefix="0" xfId="9">
      <alignment horizontal="center" vertical="center"/>
    </xf>
    <xf numFmtId="166" fontId="42" fillId="0" borderId="206" applyAlignment="1" pivotButton="0" quotePrefix="0" xfId="9">
      <alignment horizontal="center" vertical="center"/>
    </xf>
    <xf numFmtId="0" fontId="1" fillId="2" borderId="238" applyAlignment="1" pivotButton="0" quotePrefix="0" xfId="8">
      <alignment horizontal="center"/>
    </xf>
    <xf numFmtId="170" fontId="0" fillId="0" borderId="175" applyAlignment="1" pivotButton="0" quotePrefix="0" xfId="9">
      <alignment horizontal="center" vertical="center"/>
    </xf>
    <xf numFmtId="170" fontId="0" fillId="0" borderId="239" applyAlignment="1" pivotButton="0" quotePrefix="0" xfId="9">
      <alignment horizontal="center" vertical="center"/>
    </xf>
    <xf numFmtId="170" fontId="0" fillId="0" borderId="240" applyAlignment="1" pivotButton="0" quotePrefix="0" xfId="9">
      <alignment horizontal="center" vertical="center"/>
    </xf>
    <xf numFmtId="0" fontId="34" fillId="25" borderId="199" applyAlignment="1" pivotButton="0" quotePrefix="0" xfId="8">
      <alignment horizontal="center" vertical="center"/>
    </xf>
    <xf numFmtId="0" fontId="34" fillId="25" borderId="215" applyAlignment="1" pivotButton="0" quotePrefix="0" xfId="8">
      <alignment horizontal="center" vertical="center"/>
    </xf>
    <xf numFmtId="0" fontId="34" fillId="25" borderId="193" applyAlignment="1" pivotButton="0" quotePrefix="0" xfId="8">
      <alignment horizontal="center" vertical="center"/>
    </xf>
    <xf numFmtId="166" fontId="42" fillId="0" borderId="220" applyAlignment="1" pivotButton="0" quotePrefix="0" xfId="9">
      <alignment horizontal="center" vertical="center"/>
    </xf>
    <xf numFmtId="0" fontId="34" fillId="25" borderId="211" applyAlignment="1" pivotButton="0" quotePrefix="0" xfId="8">
      <alignment horizontal="center" vertical="center"/>
    </xf>
    <xf numFmtId="170" fontId="41" fillId="0" borderId="211" applyAlignment="1" pivotButton="0" quotePrefix="0" xfId="9">
      <alignment horizontal="left" vertical="center"/>
    </xf>
    <xf numFmtId="166" fontId="42" fillId="0" borderId="211" applyAlignment="1" pivotButton="0" quotePrefix="0" xfId="9">
      <alignment horizontal="center" vertical="center"/>
    </xf>
    <xf numFmtId="170" fontId="0" fillId="0" borderId="241" applyAlignment="1" pivotButton="0" quotePrefix="0" xfId="9">
      <alignment horizontal="center" vertical="center"/>
    </xf>
    <xf numFmtId="170" fontId="0" fillId="0" borderId="242" applyAlignment="1" pivotButton="0" quotePrefix="0" xfId="9">
      <alignment horizontal="center" vertical="center"/>
    </xf>
    <xf numFmtId="170" fontId="0" fillId="0" borderId="243" applyAlignment="1" pivotButton="0" quotePrefix="0" xfId="9">
      <alignment horizontal="center" vertical="center"/>
    </xf>
    <xf numFmtId="170" fontId="0" fillId="0" borderId="238" applyAlignment="1" pivotButton="0" quotePrefix="0" xfId="9">
      <alignment horizontal="center" vertical="center"/>
    </xf>
    <xf numFmtId="170" fontId="0" fillId="0" borderId="244" applyAlignment="1" pivotButton="0" quotePrefix="0" xfId="9">
      <alignment horizontal="center" vertical="center"/>
    </xf>
    <xf numFmtId="170" fontId="0" fillId="0" borderId="245" applyAlignment="1" pivotButton="0" quotePrefix="0" xfId="9">
      <alignment horizontal="center" vertical="center"/>
    </xf>
    <xf numFmtId="170" fontId="0" fillId="0" borderId="246" applyAlignment="1" pivotButton="0" quotePrefix="0" xfId="9">
      <alignment horizontal="center" vertical="center"/>
    </xf>
    <xf numFmtId="0" fontId="34" fillId="26" borderId="199" applyAlignment="1" pivotButton="0" quotePrefix="0" xfId="8">
      <alignment horizontal="center" vertical="center"/>
    </xf>
    <xf numFmtId="170" fontId="41" fillId="26" borderId="199" applyAlignment="1" pivotButton="0" quotePrefix="0" xfId="9">
      <alignment horizontal="left" vertical="center"/>
    </xf>
    <xf numFmtId="166" fontId="42" fillId="26" borderId="199" applyAlignment="1" pivotButton="0" quotePrefix="0" xfId="9">
      <alignment horizontal="center" vertical="center"/>
    </xf>
    <xf numFmtId="0" fontId="34" fillId="26" borderId="215" applyAlignment="1" pivotButton="0" quotePrefix="0" xfId="8">
      <alignment horizontal="center" vertical="center"/>
    </xf>
    <xf numFmtId="170" fontId="41" fillId="26" borderId="215" applyAlignment="1" pivotButton="0" quotePrefix="0" xfId="9">
      <alignment horizontal="left" vertical="center"/>
    </xf>
    <xf numFmtId="166" fontId="42" fillId="26" borderId="215" applyAlignment="1" pivotButton="0" quotePrefix="0" xfId="9">
      <alignment horizontal="center" vertical="center"/>
    </xf>
    <xf numFmtId="170" fontId="0" fillId="0" borderId="247" applyAlignment="1" pivotButton="0" quotePrefix="0" xfId="9">
      <alignment horizontal="center" vertical="center"/>
    </xf>
    <xf numFmtId="171" fontId="0" fillId="0" borderId="203" applyAlignment="1" pivotButton="0" quotePrefix="0" xfId="9">
      <alignment horizontal="center" vertical="center"/>
    </xf>
    <xf numFmtId="170" fontId="0" fillId="0" borderId="0" applyAlignment="1" pivotButton="0" quotePrefix="0" xfId="9">
      <alignment horizontal="center" vertical="center"/>
    </xf>
    <xf numFmtId="170" fontId="0" fillId="0" borderId="248" applyAlignment="1" pivotButton="0" quotePrefix="0" xfId="9">
      <alignment horizontal="center" vertical="center"/>
    </xf>
    <xf numFmtId="0" fontId="1" fillId="2" borderId="249" applyAlignment="1" pivotButton="0" quotePrefix="0" xfId="8">
      <alignment horizontal="center"/>
    </xf>
    <xf numFmtId="170" fontId="0" fillId="0" borderId="250" applyAlignment="1" pivotButton="0" quotePrefix="0" xfId="9">
      <alignment horizontal="center" vertical="center"/>
    </xf>
    <xf numFmtId="0" fontId="34" fillId="0" borderId="211" applyAlignment="1" pivotButton="0" quotePrefix="0" xfId="8">
      <alignment horizontal="center" vertical="center"/>
    </xf>
    <xf numFmtId="0" fontId="1" fillId="2" borderId="242" applyAlignment="1" pivotButton="0" quotePrefix="0" xfId="8">
      <alignment horizontal="center"/>
    </xf>
    <xf numFmtId="166" fontId="42" fillId="0" borderId="185" applyAlignment="1" pivotButton="0" quotePrefix="0" xfId="9">
      <alignment horizontal="center" vertical="center"/>
    </xf>
    <xf numFmtId="170" fontId="1" fillId="0" borderId="192" applyAlignment="1" pivotButton="0" quotePrefix="0" xfId="9">
      <alignment horizontal="center" vertical="center"/>
    </xf>
    <xf numFmtId="0" fontId="34" fillId="27" borderId="198" applyAlignment="1" pivotButton="0" quotePrefix="0" xfId="8">
      <alignment horizontal="center" vertical="center"/>
    </xf>
    <xf numFmtId="166" fontId="42" fillId="0" borderId="207" applyAlignment="1" pivotButton="0" quotePrefix="0" xfId="9">
      <alignment horizontal="center" vertical="center"/>
    </xf>
    <xf numFmtId="0" fontId="34" fillId="27" borderId="213" applyAlignment="1" pivotButton="0" quotePrefix="0" xfId="8">
      <alignment horizontal="center" vertical="center"/>
    </xf>
    <xf numFmtId="166" fontId="42" fillId="0" borderId="227" applyAlignment="1" pivotButton="0" quotePrefix="0" xfId="9">
      <alignment horizontal="center" vertical="center"/>
    </xf>
    <xf numFmtId="0" fontId="34" fillId="27" borderId="215" applyAlignment="1" pivotButton="0" quotePrefix="0" xfId="8">
      <alignment horizontal="center" vertical="center"/>
    </xf>
    <xf numFmtId="43" fontId="0" fillId="0" borderId="199" applyAlignment="1" pivotButton="0" quotePrefix="0" xfId="9">
      <alignment horizontal="center" vertical="center"/>
    </xf>
    <xf numFmtId="49" fontId="40" fillId="9" borderId="197" applyAlignment="1" pivotButton="0" quotePrefix="0" xfId="0">
      <alignment horizontal="center" vertical="center"/>
    </xf>
    <xf numFmtId="0" fontId="34" fillId="10" borderId="189" applyAlignment="1" pivotButton="0" quotePrefix="0" xfId="8">
      <alignment horizontal="center" vertical="center"/>
    </xf>
    <xf numFmtId="0" fontId="34" fillId="26" borderId="248" applyAlignment="1" pivotButton="0" quotePrefix="0" xfId="8">
      <alignment horizontal="center" vertical="center"/>
    </xf>
    <xf numFmtId="0" fontId="34" fillId="26" borderId="243" applyAlignment="1" pivotButton="0" quotePrefix="0" xfId="8">
      <alignment horizontal="center" vertical="center"/>
    </xf>
    <xf numFmtId="0" fontId="34" fillId="26" borderId="241" applyAlignment="1" pivotButton="0" quotePrefix="0" xfId="8">
      <alignment horizontal="center" vertical="center"/>
    </xf>
    <xf numFmtId="0" fontId="34" fillId="26" borderId="244" applyAlignment="1" pivotButton="0" quotePrefix="0" xfId="8">
      <alignment horizontal="center" vertical="center"/>
    </xf>
    <xf numFmtId="166" fontId="42" fillId="0" borderId="214" applyAlignment="1" pivotButton="0" quotePrefix="0" xfId="9">
      <alignment horizontal="center" vertical="center"/>
    </xf>
    <xf numFmtId="0" fontId="34" fillId="26" borderId="184" applyAlignment="1" pivotButton="0" quotePrefix="0" xfId="8">
      <alignment horizontal="center" vertical="center"/>
    </xf>
    <xf numFmtId="0" fontId="34" fillId="26" borderId="198" applyAlignment="1" pivotButton="0" quotePrefix="0" xfId="8">
      <alignment horizontal="center" vertical="center"/>
    </xf>
    <xf numFmtId="43" fontId="0" fillId="0" borderId="213" applyAlignment="1" pivotButton="0" quotePrefix="0" xfId="9">
      <alignment horizontal="center" vertical="center"/>
    </xf>
    <xf numFmtId="0" fontId="34" fillId="26" borderId="189" applyAlignment="1" pivotButton="0" quotePrefix="0" xfId="8">
      <alignment horizontal="center" vertical="center"/>
    </xf>
    <xf numFmtId="0" fontId="34" fillId="26" borderId="213" applyAlignment="1" pivotButton="0" quotePrefix="0" xfId="8">
      <alignment horizontal="center" vertical="center"/>
    </xf>
    <xf numFmtId="43" fontId="0" fillId="0" borderId="193" applyAlignment="1" pivotButton="0" quotePrefix="0" xfId="9">
      <alignment horizontal="center" vertical="center"/>
    </xf>
    <xf numFmtId="0" fontId="34" fillId="26" borderId="193" applyAlignment="1" pivotButton="0" quotePrefix="0" xfId="8">
      <alignment horizontal="center" vertical="center"/>
    </xf>
    <xf numFmtId="43" fontId="0" fillId="0" borderId="198" applyAlignment="1" pivotButton="0" quotePrefix="0" xfId="9">
      <alignment horizontal="center" vertical="center"/>
    </xf>
    <xf numFmtId="43" fontId="0" fillId="0" borderId="189" applyAlignment="1" pivotButton="0" quotePrefix="0" xfId="9">
      <alignment horizontal="center" vertical="center"/>
    </xf>
    <xf numFmtId="43" fontId="0" fillId="0" borderId="184" applyAlignment="1" pivotButton="0" quotePrefix="0" xfId="9">
      <alignment horizontal="center" vertical="center"/>
    </xf>
    <xf numFmtId="0" fontId="43" fillId="13" borderId="24" applyAlignment="1" pivotButton="0" quotePrefix="0" xfId="8">
      <alignment vertical="center" textRotation="255" wrapText="1"/>
    </xf>
    <xf numFmtId="0" fontId="44" fillId="13" borderId="251" applyAlignment="1" pivotButton="0" quotePrefix="0" xfId="8">
      <alignment horizontal="center" vertical="center"/>
    </xf>
    <xf numFmtId="0" fontId="39" fillId="13" borderId="252" applyAlignment="1" pivotButton="0" quotePrefix="0" xfId="8">
      <alignment horizontal="center" vertical="center"/>
    </xf>
    <xf numFmtId="170" fontId="39" fillId="13" borderId="252" applyAlignment="1" pivotButton="0" quotePrefix="0" xfId="8">
      <alignment horizontal="center" vertical="center"/>
    </xf>
    <xf numFmtId="171" fontId="39" fillId="13" borderId="252" applyAlignment="1" pivotButton="0" quotePrefix="0" xfId="8">
      <alignment horizontal="center" vertical="center"/>
    </xf>
    <xf numFmtId="0" fontId="45" fillId="2" borderId="0" applyAlignment="1" pivotButton="0" quotePrefix="0" xfId="8">
      <alignment horizontal="center"/>
    </xf>
    <xf numFmtId="170" fontId="45" fillId="2" borderId="0" applyAlignment="1" pivotButton="0" quotePrefix="0" xfId="8">
      <alignment horizontal="center"/>
    </xf>
    <xf numFmtId="0" fontId="46" fillId="2" borderId="0" applyAlignment="1" pivotButton="0" quotePrefix="0" xfId="8">
      <alignment horizontal="center"/>
    </xf>
    <xf numFmtId="0" fontId="41" fillId="2" borderId="0" applyAlignment="1" pivotButton="0" quotePrefix="0" xfId="8">
      <alignment horizontal="center"/>
    </xf>
    <xf numFmtId="9" fontId="41" fillId="2" borderId="0" applyAlignment="1" pivotButton="0" quotePrefix="0" xfId="7">
      <alignment horizontal="left" vertical="center"/>
    </xf>
    <xf numFmtId="170" fontId="41" fillId="2" borderId="0" applyAlignment="1" pivotButton="0" quotePrefix="0" xfId="9">
      <alignment horizontal="center"/>
    </xf>
    <xf numFmtId="0" fontId="41" fillId="2" borderId="0" applyAlignment="1" pivotButton="0" quotePrefix="0" xfId="8">
      <alignment horizontal="center" vertical="center"/>
    </xf>
    <xf numFmtId="171" fontId="41" fillId="2" borderId="0" applyAlignment="1" pivotButton="0" quotePrefix="0" xfId="8">
      <alignment horizontal="center"/>
    </xf>
    <xf numFmtId="170" fontId="41" fillId="2" borderId="0" applyAlignment="1" pivotButton="0" quotePrefix="0" xfId="9">
      <alignment horizontal="center" vertical="center"/>
    </xf>
    <xf numFmtId="170" fontId="41" fillId="2" borderId="0" applyAlignment="1" pivotButton="0" quotePrefix="0" xfId="8">
      <alignment horizontal="center" vertical="center"/>
    </xf>
    <xf numFmtId="172" fontId="41" fillId="2" borderId="0" applyAlignment="1" pivotButton="0" quotePrefix="0" xfId="8">
      <alignment horizontal="center" vertical="center"/>
    </xf>
    <xf numFmtId="171" fontId="41" fillId="2" borderId="0" applyAlignment="1" pivotButton="0" quotePrefix="0" xfId="8">
      <alignment horizontal="center" vertical="center"/>
    </xf>
    <xf numFmtId="170" fontId="41" fillId="2" borderId="0" applyAlignment="1" pivotButton="0" quotePrefix="0" xfId="9">
      <alignment horizontal="left" vertical="center"/>
    </xf>
    <xf numFmtId="9" fontId="41" fillId="2" borderId="0" applyAlignment="1" pivotButton="0" quotePrefix="0" xfId="7">
      <alignment horizontal="center"/>
    </xf>
    <xf numFmtId="43" fontId="41" fillId="2" borderId="0" applyAlignment="1" pivotButton="0" quotePrefix="0" xfId="8">
      <alignment horizontal="center"/>
    </xf>
    <xf numFmtId="173" fontId="41" fillId="2" borderId="0" applyAlignment="1" pivotButton="0" quotePrefix="0" xfId="8">
      <alignment horizontal="center" vertical="center"/>
    </xf>
    <xf numFmtId="43" fontId="41" fillId="2" borderId="0" applyAlignment="1" pivotButton="0" quotePrefix="0" xfId="8">
      <alignment horizontal="center" vertical="center"/>
    </xf>
    <xf numFmtId="170" fontId="41" fillId="2" borderId="0" applyAlignment="1" pivotButton="0" quotePrefix="0" xfId="8">
      <alignment horizontal="center"/>
    </xf>
    <xf numFmtId="170" fontId="0" fillId="2" borderId="0" applyAlignment="1" pivotButton="0" quotePrefix="0" xfId="9">
      <alignment horizontal="center" vertical="center"/>
    </xf>
    <xf numFmtId="170" fontId="0" fillId="2" borderId="0" applyAlignment="1" pivotButton="0" quotePrefix="0" xfId="9">
      <alignment horizontal="center" vertical="center"/>
    </xf>
    <xf numFmtId="171" fontId="0" fillId="0" borderId="0" applyAlignment="1" pivotButton="0" quotePrefix="0" xfId="9">
      <alignment horizontal="center" vertical="center"/>
    </xf>
    <xf numFmtId="43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171" fontId="0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173" fontId="0" fillId="0" borderId="0" pivotButton="0" quotePrefix="0" xfId="0"/>
    <xf numFmtId="0" fontId="49" fillId="0" borderId="0" applyAlignment="1" pivotButton="0" quotePrefix="0" xfId="0">
      <alignment vertical="center"/>
    </xf>
    <xf numFmtId="3" fontId="49" fillId="0" borderId="0" applyAlignment="1" pivotButton="0" quotePrefix="0" xfId="0">
      <alignment vertical="center"/>
    </xf>
    <xf numFmtId="166" fontId="4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174" fontId="0" fillId="0" borderId="0" applyAlignment="1" pivotButton="0" quotePrefix="0" xfId="7">
      <alignment horizontal="left"/>
    </xf>
    <xf numFmtId="16" fontId="50" fillId="0" borderId="0" applyAlignment="1" pivotButton="0" quotePrefix="0" xfId="0">
      <alignment vertical="center"/>
    </xf>
    <xf numFmtId="16" fontId="34" fillId="0" borderId="0" applyAlignment="1" pivotButton="0" quotePrefix="0" xfId="0">
      <alignment vertical="center"/>
    </xf>
    <xf numFmtId="0" fontId="49" fillId="0" borderId="0" applyAlignment="1" pivotButton="0" quotePrefix="0" xfId="0">
      <alignment horizontal="left" vertical="center"/>
    </xf>
    <xf numFmtId="2" fontId="51" fillId="0" borderId="0" applyAlignment="1" pivotButton="0" quotePrefix="0" xfId="0">
      <alignment horizontal="left" vertical="center"/>
    </xf>
    <xf numFmtId="3" fontId="49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175" fontId="49" fillId="0" borderId="0" applyAlignment="1" pivotButton="0" quotePrefix="0" xfId="0">
      <alignment horizontal="left" vertical="center"/>
    </xf>
    <xf numFmtId="174" fontId="4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/>
    </xf>
    <xf numFmtId="16" fontId="34" fillId="0" borderId="0" applyAlignment="1" pivotButton="0" quotePrefix="0" xfId="0">
      <alignment horizontal="left" vertical="center"/>
    </xf>
    <xf numFmtId="9" fontId="0" fillId="0" borderId="0" pivotButton="0" quotePrefix="0" xfId="7"/>
    <xf numFmtId="2" fontId="51" fillId="0" borderId="0" pivotButton="0" quotePrefix="0" xfId="7"/>
    <xf numFmtId="176" fontId="51" fillId="0" borderId="0" pivotButton="0" quotePrefix="0" xfId="0"/>
    <xf numFmtId="3" fontId="51" fillId="0" borderId="0" pivotButton="0" quotePrefix="0" xfId="0"/>
    <xf numFmtId="173" fontId="51" fillId="0" borderId="0" pivotButton="0" quotePrefix="0" xfId="0"/>
    <xf numFmtId="0" fontId="51" fillId="0" borderId="0" pivotButton="0" quotePrefix="0" xfId="0"/>
    <xf numFmtId="0" fontId="41" fillId="0" borderId="0" applyAlignment="1" pivotButton="0" quotePrefix="0" xfId="0">
      <alignment horizontal="left"/>
    </xf>
    <xf numFmtId="174" fontId="41" fillId="0" borderId="0" applyAlignment="1" pivotButton="0" quotePrefix="0" xfId="7">
      <alignment horizontal="left"/>
    </xf>
    <xf numFmtId="0" fontId="52" fillId="5" borderId="262" applyAlignment="1" pivotButton="0" quotePrefix="0" xfId="0">
      <alignment horizontal="center" vertical="center" shrinkToFit="1"/>
    </xf>
    <xf numFmtId="0" fontId="52" fillId="5" borderId="263" applyAlignment="1" pivotButton="0" quotePrefix="0" xfId="0">
      <alignment horizontal="center" vertical="center" shrinkToFit="1"/>
    </xf>
    <xf numFmtId="0" fontId="30" fillId="5" borderId="263" applyAlignment="1" pivotButton="0" quotePrefix="0" xfId="0">
      <alignment horizontal="center" vertical="center"/>
    </xf>
    <xf numFmtId="0" fontId="30" fillId="29" borderId="263" applyAlignment="1" pivotButton="0" quotePrefix="0" xfId="0">
      <alignment horizontal="center" vertical="center"/>
    </xf>
    <xf numFmtId="0" fontId="52" fillId="15" borderId="263" applyAlignment="1" pivotButton="0" quotePrefix="0" xfId="0">
      <alignment horizontal="center" vertical="center" shrinkToFit="1"/>
    </xf>
    <xf numFmtId="0" fontId="52" fillId="25" borderId="263" applyAlignment="1" pivotButton="0" quotePrefix="0" xfId="0">
      <alignment horizontal="center" vertical="center" shrinkToFit="1"/>
    </xf>
    <xf numFmtId="9" fontId="52" fillId="25" borderId="263" applyAlignment="1" pivotButton="0" quotePrefix="0" xfId="7">
      <alignment horizontal="center" vertical="center" shrinkToFit="1"/>
    </xf>
    <xf numFmtId="9" fontId="52" fillId="5" borderId="263" applyAlignment="1" pivotButton="0" quotePrefix="0" xfId="7">
      <alignment horizontal="center" vertical="center" shrinkToFit="1"/>
    </xf>
    <xf numFmtId="9" fontId="52" fillId="28" borderId="263" applyAlignment="1" pivotButton="0" quotePrefix="0" xfId="7">
      <alignment horizontal="center" vertical="center" shrinkToFit="1"/>
    </xf>
    <xf numFmtId="3" fontId="52" fillId="28" borderId="263" applyAlignment="1" pivotButton="0" quotePrefix="0" xfId="7">
      <alignment horizontal="center" vertical="center" shrinkToFit="1"/>
    </xf>
    <xf numFmtId="9" fontId="52" fillId="28" borderId="264" applyAlignment="1" pivotButton="0" quotePrefix="0" xfId="7">
      <alignment horizontal="center" vertical="center" shrinkToFit="1"/>
    </xf>
    <xf numFmtId="175" fontId="34" fillId="0" borderId="0" applyAlignment="1" pivotButton="0" quotePrefix="0" xfId="0">
      <alignment horizontal="left"/>
    </xf>
    <xf numFmtId="174" fontId="34" fillId="0" borderId="0" applyAlignment="1" pivotButton="0" quotePrefix="0" xfId="7">
      <alignment horizontal="left"/>
    </xf>
    <xf numFmtId="0" fontId="34" fillId="0" borderId="0" applyAlignment="1" pivotButton="0" quotePrefix="0" xfId="0">
      <alignment horizontal="left"/>
    </xf>
    <xf numFmtId="3" fontId="30" fillId="0" borderId="266" applyAlignment="1" pivotButton="0" quotePrefix="0" xfId="0">
      <alignment horizontal="left"/>
    </xf>
    <xf numFmtId="0" fontId="30" fillId="0" borderId="266" applyAlignment="1" pivotButton="0" quotePrefix="0" xfId="0">
      <alignment horizontal="center" vertical="center"/>
    </xf>
    <xf numFmtId="1" fontId="30" fillId="29" borderId="266" applyAlignment="1" pivotButton="0" quotePrefix="0" xfId="0">
      <alignment horizontal="center" vertical="center"/>
    </xf>
    <xf numFmtId="0" fontId="30" fillId="29" borderId="266" applyAlignment="1" pivotButton="0" quotePrefix="0" xfId="0">
      <alignment horizontal="center" vertical="center"/>
    </xf>
    <xf numFmtId="3" fontId="30" fillId="15" borderId="266" applyAlignment="1" pivotButton="0" quotePrefix="0" xfId="0">
      <alignment vertical="center"/>
    </xf>
    <xf numFmtId="3" fontId="30" fillId="15" borderId="266" applyAlignment="1" pivotButton="0" quotePrefix="0" xfId="0">
      <alignment horizontal="right" vertical="center"/>
    </xf>
    <xf numFmtId="3" fontId="30" fillId="25" borderId="266" applyAlignment="1" pivotButton="0" quotePrefix="0" xfId="0">
      <alignment vertical="center"/>
    </xf>
    <xf numFmtId="3" fontId="30" fillId="25" borderId="266" applyAlignment="1" pivotButton="0" quotePrefix="0" xfId="0">
      <alignment horizontal="right" vertical="center"/>
    </xf>
    <xf numFmtId="174" fontId="30" fillId="25" borderId="266" applyAlignment="1" pivotButton="0" quotePrefix="0" xfId="7">
      <alignment vertical="center"/>
    </xf>
    <xf numFmtId="1" fontId="30" fillId="25" borderId="266" applyAlignment="1" pivotButton="0" quotePrefix="0" xfId="0">
      <alignment horizontal="right" vertical="center"/>
    </xf>
    <xf numFmtId="9" fontId="30" fillId="25" borderId="266" applyAlignment="1" pivotButton="0" quotePrefix="0" xfId="7">
      <alignment vertical="center"/>
    </xf>
    <xf numFmtId="3" fontId="42" fillId="0" borderId="0" applyAlignment="1" pivotButton="0" quotePrefix="0" xfId="0">
      <alignment horizontal="left"/>
    </xf>
    <xf numFmtId="174" fontId="42" fillId="0" borderId="0" applyAlignment="1" pivotButton="0" quotePrefix="0" xfId="7">
      <alignment horizontal="left"/>
    </xf>
    <xf numFmtId="3" fontId="30" fillId="0" borderId="24" applyAlignment="1" pivotButton="0" quotePrefix="0" xfId="0">
      <alignment horizontal="left"/>
    </xf>
    <xf numFmtId="0" fontId="30" fillId="0" borderId="24" applyAlignment="1" pivotButton="0" quotePrefix="0" xfId="0">
      <alignment horizontal="center" vertical="center"/>
    </xf>
    <xf numFmtId="1" fontId="30" fillId="29" borderId="24" applyAlignment="1" pivotButton="0" quotePrefix="0" xfId="0">
      <alignment horizontal="center" vertical="center"/>
    </xf>
    <xf numFmtId="0" fontId="30" fillId="29" borderId="24" applyAlignment="1" pivotButton="0" quotePrefix="0" xfId="0">
      <alignment horizontal="center" vertical="center"/>
    </xf>
    <xf numFmtId="3" fontId="30" fillId="15" borderId="24" applyAlignment="1" pivotButton="0" quotePrefix="0" xfId="0">
      <alignment horizontal="right" vertical="center"/>
    </xf>
    <xf numFmtId="3" fontId="30" fillId="25" borderId="24" applyAlignment="1" pivotButton="0" quotePrefix="0" xfId="0">
      <alignment vertical="center"/>
    </xf>
    <xf numFmtId="3" fontId="30" fillId="25" borderId="24" applyAlignment="1" pivotButton="0" quotePrefix="0" xfId="0">
      <alignment horizontal="right" vertical="center"/>
    </xf>
    <xf numFmtId="174" fontId="30" fillId="25" borderId="24" applyAlignment="1" pivotButton="0" quotePrefix="0" xfId="7">
      <alignment vertical="center"/>
    </xf>
    <xf numFmtId="1" fontId="30" fillId="25" borderId="24" applyAlignment="1" pivotButton="0" quotePrefix="0" xfId="7">
      <alignment vertical="center"/>
    </xf>
    <xf numFmtId="9" fontId="30" fillId="25" borderId="24" applyAlignment="1" pivotButton="0" quotePrefix="0" xfId="7">
      <alignment vertical="center"/>
    </xf>
    <xf numFmtId="1" fontId="30" fillId="25" borderId="24" applyAlignment="1" pivotButton="0" quotePrefix="0" xfId="0">
      <alignment horizontal="right" vertical="center"/>
    </xf>
    <xf numFmtId="3" fontId="30" fillId="15" borderId="24" applyAlignment="1" pivotButton="0" quotePrefix="0" xfId="0">
      <alignment vertical="center"/>
    </xf>
    <xf numFmtId="175" fontId="30" fillId="15" borderId="24" applyAlignment="1" pivotButton="0" quotePrefix="0" xfId="0">
      <alignment horizontal="right" vertical="center"/>
    </xf>
    <xf numFmtId="176" fontId="42" fillId="0" borderId="0" applyAlignment="1" pivotButton="0" quotePrefix="0" xfId="0">
      <alignment horizontal="left"/>
    </xf>
    <xf numFmtId="3" fontId="30" fillId="0" borderId="263" applyAlignment="1" pivotButton="0" quotePrefix="0" xfId="0">
      <alignment horizontal="left"/>
    </xf>
    <xf numFmtId="0" fontId="30" fillId="0" borderId="263" applyAlignment="1" pivotButton="0" quotePrefix="0" xfId="0">
      <alignment horizontal="center" vertical="center"/>
    </xf>
    <xf numFmtId="1" fontId="30" fillId="29" borderId="263" applyAlignment="1" pivotButton="0" quotePrefix="0" xfId="0">
      <alignment horizontal="center" vertical="center"/>
    </xf>
    <xf numFmtId="3" fontId="30" fillId="15" borderId="263" applyAlignment="1" pivotButton="0" quotePrefix="0" xfId="0">
      <alignment vertical="center"/>
    </xf>
    <xf numFmtId="175" fontId="30" fillId="15" borderId="263" applyAlignment="1" pivotButton="0" quotePrefix="0" xfId="0">
      <alignment horizontal="right" vertical="center"/>
    </xf>
    <xf numFmtId="3" fontId="30" fillId="25" borderId="263" applyAlignment="1" pivotButton="0" quotePrefix="0" xfId="0">
      <alignment horizontal="right" vertical="center"/>
    </xf>
    <xf numFmtId="174" fontId="30" fillId="25" borderId="263" applyAlignment="1" pivotButton="0" quotePrefix="0" xfId="7">
      <alignment vertical="center"/>
    </xf>
    <xf numFmtId="1" fontId="30" fillId="25" borderId="263" applyAlignment="1" pivotButton="0" quotePrefix="0" xfId="7">
      <alignment vertical="center"/>
    </xf>
    <xf numFmtId="3" fontId="30" fillId="25" borderId="263" applyAlignment="1" pivotButton="0" quotePrefix="0" xfId="0">
      <alignment vertical="center"/>
    </xf>
    <xf numFmtId="9" fontId="30" fillId="25" borderId="263" applyAlignment="1" pivotButton="0" quotePrefix="0" xfId="7">
      <alignment vertical="center"/>
    </xf>
    <xf numFmtId="1" fontId="30" fillId="25" borderId="263" applyAlignment="1" pivotButton="0" quotePrefix="0" xfId="0">
      <alignment horizontal="right" vertical="center"/>
    </xf>
    <xf numFmtId="175" fontId="30" fillId="15" borderId="266" applyAlignment="1" pivotButton="0" quotePrefix="0" xfId="0">
      <alignment horizontal="right" vertical="center"/>
    </xf>
    <xf numFmtId="1" fontId="30" fillId="25" borderId="266" applyAlignment="1" pivotButton="0" quotePrefix="0" xfId="7">
      <alignment vertical="center"/>
    </xf>
    <xf numFmtId="3" fontId="30" fillId="25" borderId="267" applyAlignment="1" pivotButton="0" quotePrefix="0" xfId="0">
      <alignment vertical="center"/>
    </xf>
    <xf numFmtId="3" fontId="30" fillId="0" borderId="271" applyAlignment="1" pivotButton="0" quotePrefix="0" xfId="0">
      <alignment horizontal="left"/>
    </xf>
    <xf numFmtId="0" fontId="30" fillId="0" borderId="271" applyAlignment="1" pivotButton="0" quotePrefix="0" xfId="0">
      <alignment horizontal="center" vertical="center"/>
    </xf>
    <xf numFmtId="1" fontId="30" fillId="29" borderId="271" applyAlignment="1" pivotButton="0" quotePrefix="0" xfId="0">
      <alignment horizontal="center" vertical="center"/>
    </xf>
    <xf numFmtId="0" fontId="30" fillId="29" borderId="271" applyAlignment="1" pivotButton="0" quotePrefix="0" xfId="0">
      <alignment horizontal="center" vertical="center"/>
    </xf>
    <xf numFmtId="3" fontId="30" fillId="15" borderId="271" applyAlignment="1" pivotButton="0" quotePrefix="0" xfId="0">
      <alignment vertical="center"/>
    </xf>
    <xf numFmtId="175" fontId="30" fillId="15" borderId="271" applyAlignment="1" pivotButton="0" quotePrefix="0" xfId="0">
      <alignment horizontal="right" vertical="center"/>
    </xf>
    <xf numFmtId="3" fontId="30" fillId="25" borderId="271" applyAlignment="1" pivotButton="0" quotePrefix="0" xfId="0">
      <alignment vertical="center"/>
    </xf>
    <xf numFmtId="3" fontId="30" fillId="25" borderId="271" applyAlignment="1" pivotButton="0" quotePrefix="0" xfId="0">
      <alignment horizontal="right" vertical="center"/>
    </xf>
    <xf numFmtId="174" fontId="30" fillId="25" borderId="271" applyAlignment="1" pivotButton="0" quotePrefix="0" xfId="7">
      <alignment vertical="center"/>
    </xf>
    <xf numFmtId="1" fontId="30" fillId="25" borderId="271" applyAlignment="1" pivotButton="0" quotePrefix="0" xfId="7">
      <alignment vertical="center"/>
    </xf>
    <xf numFmtId="9" fontId="30" fillId="25" borderId="271" applyAlignment="1" pivotButton="0" quotePrefix="0" xfId="7">
      <alignment vertical="center"/>
    </xf>
    <xf numFmtId="1" fontId="30" fillId="25" borderId="271" applyAlignment="1" pivotButton="0" quotePrefix="0" xfId="0">
      <alignment horizontal="right" vertical="center"/>
    </xf>
    <xf numFmtId="4" fontId="42" fillId="0" borderId="0" applyAlignment="1" pivotButton="0" quotePrefix="0" xfId="0">
      <alignment horizontal="left"/>
    </xf>
    <xf numFmtId="3" fontId="30" fillId="0" borderId="273" applyAlignment="1" pivotButton="0" quotePrefix="0" xfId="0">
      <alignment horizontal="center" vertical="center"/>
    </xf>
    <xf numFmtId="3" fontId="30" fillId="0" borderId="274" applyAlignment="1" pivotButton="0" quotePrefix="0" xfId="0">
      <alignment horizontal="left"/>
    </xf>
    <xf numFmtId="0" fontId="30" fillId="0" borderId="274" applyAlignment="1" pivotButton="0" quotePrefix="0" xfId="0">
      <alignment horizontal="center" vertical="center"/>
    </xf>
    <xf numFmtId="1" fontId="30" fillId="29" borderId="274" applyAlignment="1" pivotButton="0" quotePrefix="0" xfId="0">
      <alignment horizontal="center" vertical="center"/>
    </xf>
    <xf numFmtId="0" fontId="30" fillId="29" borderId="274" applyAlignment="1" pivotButton="0" quotePrefix="0" xfId="0">
      <alignment horizontal="center" vertical="center"/>
    </xf>
    <xf numFmtId="3" fontId="30" fillId="29" borderId="274" applyAlignment="1" pivotButton="0" quotePrefix="0" xfId="0">
      <alignment horizontal="center" vertical="center"/>
    </xf>
    <xf numFmtId="3" fontId="30" fillId="15" borderId="274" applyAlignment="1" pivotButton="0" quotePrefix="0" xfId="0">
      <alignment vertical="center"/>
    </xf>
    <xf numFmtId="175" fontId="30" fillId="15" borderId="274" applyAlignment="1" pivotButton="0" quotePrefix="0" xfId="0">
      <alignment horizontal="right" vertical="center"/>
    </xf>
    <xf numFmtId="3" fontId="30" fillId="15" borderId="274" applyAlignment="1" pivotButton="0" quotePrefix="0" xfId="0">
      <alignment horizontal="center" vertical="center"/>
    </xf>
    <xf numFmtId="175" fontId="30" fillId="15" borderId="274" applyAlignment="1" pivotButton="0" quotePrefix="0" xfId="0">
      <alignment horizontal="center" vertical="center"/>
    </xf>
    <xf numFmtId="3" fontId="30" fillId="25" borderId="274" applyAlignment="1" pivotButton="0" quotePrefix="0" xfId="0">
      <alignment vertical="center"/>
    </xf>
    <xf numFmtId="3" fontId="30" fillId="25" borderId="274" applyAlignment="1" pivotButton="0" quotePrefix="0" xfId="0">
      <alignment horizontal="right" vertical="center"/>
    </xf>
    <xf numFmtId="174" fontId="30" fillId="25" borderId="274" applyAlignment="1" pivotButton="0" quotePrefix="0" xfId="7">
      <alignment vertical="center"/>
    </xf>
    <xf numFmtId="1" fontId="30" fillId="25" borderId="274" applyAlignment="1" pivotButton="0" quotePrefix="0" xfId="7">
      <alignment vertical="center"/>
    </xf>
    <xf numFmtId="9" fontId="30" fillId="25" borderId="274" applyAlignment="1" pivotButton="0" quotePrefix="0" xfId="7">
      <alignment vertical="center"/>
    </xf>
    <xf numFmtId="1" fontId="30" fillId="25" borderId="274" applyAlignment="1" pivotButton="0" quotePrefix="0" xfId="0">
      <alignment horizontal="right" vertical="center"/>
    </xf>
    <xf numFmtId="3" fontId="30" fillId="0" borderId="274" applyAlignment="1" pivotButton="0" quotePrefix="0" xfId="0">
      <alignment horizontal="center" vertical="center"/>
    </xf>
    <xf numFmtId="174" fontId="30" fillId="0" borderId="274" applyAlignment="1" pivotButton="0" quotePrefix="0" xfId="7">
      <alignment horizontal="center" vertical="center"/>
    </xf>
    <xf numFmtId="3" fontId="30" fillId="28" borderId="274" applyAlignment="1" pivotButton="0" quotePrefix="0" xfId="7">
      <alignment horizontal="center" vertical="center"/>
    </xf>
    <xf numFmtId="174" fontId="30" fillId="28" borderId="274" applyAlignment="1" pivotButton="0" quotePrefix="0" xfId="7">
      <alignment horizontal="center" vertical="center"/>
    </xf>
    <xf numFmtId="173" fontId="30" fillId="28" borderId="274" applyAlignment="1" pivotButton="0" quotePrefix="0" xfId="7">
      <alignment horizontal="center" vertical="center"/>
    </xf>
    <xf numFmtId="175" fontId="30" fillId="28" borderId="274" applyAlignment="1" pivotButton="0" quotePrefix="0" xfId="7">
      <alignment horizontal="center" vertical="center"/>
    </xf>
    <xf numFmtId="10" fontId="30" fillId="28" borderId="275" applyAlignment="1" pivotButton="0" quotePrefix="0" xfId="7">
      <alignment horizontal="center" vertical="center"/>
    </xf>
    <xf numFmtId="173" fontId="30" fillId="29" borderId="266" applyAlignment="1" pivotButton="0" quotePrefix="0" xfId="0">
      <alignment horizontal="center" vertical="center"/>
    </xf>
    <xf numFmtId="3" fontId="52" fillId="15" borderId="266" applyAlignment="1" pivotButton="0" quotePrefix="0" xfId="0">
      <alignment vertical="center" shrinkToFit="1"/>
    </xf>
    <xf numFmtId="166" fontId="30" fillId="0" borderId="24" applyAlignment="1" pivotButton="0" quotePrefix="0" xfId="0">
      <alignment horizontal="center" vertical="center"/>
    </xf>
    <xf numFmtId="173" fontId="30" fillId="29" borderId="24" applyAlignment="1" pivotButton="0" quotePrefix="0" xfId="0">
      <alignment horizontal="center" vertical="center"/>
    </xf>
    <xf numFmtId="3" fontId="52" fillId="15" borderId="24" applyAlignment="1" pivotButton="0" quotePrefix="0" xfId="0">
      <alignment vertical="center" shrinkToFit="1"/>
    </xf>
    <xf numFmtId="173" fontId="30" fillId="29" borderId="263" applyAlignment="1" pivotButton="0" quotePrefix="0" xfId="0">
      <alignment horizontal="center" vertical="center"/>
    </xf>
    <xf numFmtId="3" fontId="52" fillId="15" borderId="263" applyAlignment="1" pivotButton="0" quotePrefix="0" xfId="0">
      <alignment vertical="center" shrinkToFit="1"/>
    </xf>
    <xf numFmtId="3" fontId="30" fillId="15" borderId="263" applyAlignment="1" pivotButton="0" quotePrefix="0" xfId="0">
      <alignment horizontal="right" vertical="center"/>
    </xf>
    <xf numFmtId="175" fontId="42" fillId="0" borderId="0" applyAlignment="1" pivotButton="0" quotePrefix="0" xfId="0">
      <alignment horizontal="left"/>
    </xf>
    <xf numFmtId="3" fontId="30" fillId="0" borderId="267" applyAlignment="1" pivotButton="0" quotePrefix="0" xfId="0">
      <alignment horizontal="left"/>
    </xf>
    <xf numFmtId="166" fontId="30" fillId="0" borderId="267" applyAlignment="1" pivotButton="0" quotePrefix="0" xfId="0">
      <alignment horizontal="center" vertical="center"/>
    </xf>
    <xf numFmtId="1" fontId="30" fillId="29" borderId="267" applyAlignment="1" pivotButton="0" quotePrefix="0" xfId="0">
      <alignment horizontal="center" vertical="center"/>
    </xf>
    <xf numFmtId="0" fontId="30" fillId="29" borderId="267" applyAlignment="1" pivotButton="0" quotePrefix="0" xfId="0">
      <alignment horizontal="center" vertical="center"/>
    </xf>
    <xf numFmtId="3" fontId="52" fillId="15" borderId="267" applyAlignment="1" pivotButton="0" quotePrefix="0" xfId="0">
      <alignment vertical="center" shrinkToFit="1"/>
    </xf>
    <xf numFmtId="3" fontId="30" fillId="15" borderId="267" applyAlignment="1" pivotButton="0" quotePrefix="0" xfId="0">
      <alignment horizontal="right" vertical="center"/>
    </xf>
    <xf numFmtId="174" fontId="30" fillId="25" borderId="267" applyAlignment="1" pivotButton="0" quotePrefix="0" xfId="7">
      <alignment vertical="center"/>
    </xf>
    <xf numFmtId="1" fontId="30" fillId="25" borderId="267" applyAlignment="1" pivotButton="0" quotePrefix="0" xfId="7">
      <alignment vertical="center"/>
    </xf>
    <xf numFmtId="9" fontId="30" fillId="25" borderId="267" applyAlignment="1" pivotButton="0" quotePrefix="0" xfId="7">
      <alignment vertical="center"/>
    </xf>
    <xf numFmtId="3" fontId="52" fillId="15" borderId="271" applyAlignment="1" pivotButton="0" quotePrefix="0" xfId="0">
      <alignment vertical="center" shrinkToFit="1"/>
    </xf>
    <xf numFmtId="3" fontId="30" fillId="15" borderId="271" applyAlignment="1" pivotButton="0" quotePrefix="0" xfId="0">
      <alignment horizontal="right" vertical="center"/>
    </xf>
    <xf numFmtId="166" fontId="30" fillId="0" borderId="263" applyAlignment="1" pivotButton="0" quotePrefix="0" xfId="0">
      <alignment horizontal="center" vertical="center"/>
    </xf>
    <xf numFmtId="3" fontId="30" fillId="0" borderId="176" applyAlignment="1" pivotButton="0" quotePrefix="0" xfId="0">
      <alignment horizontal="left"/>
    </xf>
    <xf numFmtId="166" fontId="30" fillId="0" borderId="176" applyAlignment="1" pivotButton="0" quotePrefix="0" xfId="0">
      <alignment horizontal="center" vertical="center"/>
    </xf>
    <xf numFmtId="1" fontId="30" fillId="29" borderId="176" applyAlignment="1" pivotButton="0" quotePrefix="0" xfId="0">
      <alignment horizontal="center" vertical="center"/>
    </xf>
    <xf numFmtId="0" fontId="30" fillId="29" borderId="176" applyAlignment="1" pivotButton="0" quotePrefix="0" xfId="0">
      <alignment horizontal="center" vertical="center"/>
    </xf>
    <xf numFmtId="3" fontId="30" fillId="29" borderId="176" applyAlignment="1" pivotButton="0" quotePrefix="0" xfId="0">
      <alignment horizontal="center" vertical="center"/>
    </xf>
    <xf numFmtId="3" fontId="30" fillId="15" borderId="176" applyAlignment="1" pivotButton="0" quotePrefix="0" xfId="0">
      <alignment vertical="center"/>
    </xf>
    <xf numFmtId="3" fontId="30" fillId="15" borderId="176" applyAlignment="1" pivotButton="0" quotePrefix="0" xfId="0">
      <alignment horizontal="right" vertical="center"/>
    </xf>
    <xf numFmtId="3" fontId="30" fillId="25" borderId="176" applyAlignment="1" pivotButton="0" quotePrefix="0" xfId="0">
      <alignment vertical="center"/>
    </xf>
    <xf numFmtId="3" fontId="30" fillId="25" borderId="267" applyAlignment="1" pivotButton="0" quotePrefix="0" xfId="0">
      <alignment horizontal="right" vertical="center"/>
    </xf>
    <xf numFmtId="1" fontId="30" fillId="25" borderId="176" applyAlignment="1" pivotButton="0" quotePrefix="0" xfId="7">
      <alignment vertical="center"/>
    </xf>
    <xf numFmtId="1" fontId="30" fillId="25" borderId="176" applyAlignment="1" pivotButton="0" quotePrefix="0" xfId="0">
      <alignment horizontal="right" vertical="center"/>
    </xf>
    <xf numFmtId="3" fontId="30" fillId="29" borderId="24" applyAlignment="1" pivotButton="0" quotePrefix="0" xfId="0">
      <alignment horizontal="center" vertical="center"/>
    </xf>
    <xf numFmtId="3" fontId="30" fillId="29" borderId="267" applyAlignment="1" pivotButton="0" quotePrefix="0" xfId="0">
      <alignment horizontal="center" vertical="center"/>
    </xf>
    <xf numFmtId="3" fontId="30" fillId="15" borderId="267" applyAlignment="1" pivotButton="0" quotePrefix="0" xfId="0">
      <alignment horizontal="center" vertical="center"/>
    </xf>
    <xf numFmtId="175" fontId="30" fillId="15" borderId="267" applyAlignment="1" pivotButton="0" quotePrefix="0" xfId="0">
      <alignment horizontal="center" vertical="center"/>
    </xf>
    <xf numFmtId="3" fontId="30" fillId="0" borderId="267" applyAlignment="1" pivotButton="0" quotePrefix="0" xfId="0">
      <alignment horizontal="center" vertical="center"/>
    </xf>
    <xf numFmtId="174" fontId="30" fillId="0" borderId="267" applyAlignment="1" pivotButton="0" quotePrefix="0" xfId="7">
      <alignment vertical="center"/>
    </xf>
    <xf numFmtId="174" fontId="30" fillId="28" borderId="266" applyAlignment="1" pivotButton="0" quotePrefix="0" xfId="7">
      <alignment vertical="center"/>
    </xf>
    <xf numFmtId="173" fontId="30" fillId="28" borderId="266" applyAlignment="1" pivotButton="0" quotePrefix="0" xfId="7">
      <alignment horizontal="center" vertical="center"/>
    </xf>
    <xf numFmtId="174" fontId="30" fillId="28" borderId="266" applyAlignment="1" pivotButton="0" quotePrefix="0" xfId="7">
      <alignment horizontal="center" vertical="center"/>
    </xf>
    <xf numFmtId="175" fontId="30" fillId="28" borderId="266" applyAlignment="1" pivotButton="0" quotePrefix="0" xfId="7">
      <alignment horizontal="center" vertical="center"/>
    </xf>
    <xf numFmtId="10" fontId="30" fillId="28" borderId="276" applyAlignment="1" pivotButton="0" quotePrefix="0" xfId="7">
      <alignment horizontal="center" vertical="center"/>
    </xf>
    <xf numFmtId="175" fontId="30" fillId="29" borderId="24" applyAlignment="1" pivotButton="0" quotePrefix="0" xfId="0">
      <alignment horizontal="center" vertical="center"/>
    </xf>
    <xf numFmtId="3" fontId="30" fillId="15" borderId="24" applyAlignment="1" pivotButton="0" quotePrefix="0" xfId="0">
      <alignment horizontal="center" vertical="center"/>
    </xf>
    <xf numFmtId="175" fontId="30" fillId="15" borderId="24" applyAlignment="1" pivotButton="0" quotePrefix="0" xfId="0">
      <alignment horizontal="center" vertical="center"/>
    </xf>
    <xf numFmtId="3" fontId="30" fillId="0" borderId="271" applyAlignment="1" pivotButton="0" quotePrefix="0" xfId="0">
      <alignment horizontal="center" vertical="center"/>
    </xf>
    <xf numFmtId="174" fontId="30" fillId="0" borderId="271" applyAlignment="1" pivotButton="0" quotePrefix="0" xfId="7">
      <alignment vertical="center"/>
    </xf>
    <xf numFmtId="3" fontId="30" fillId="28" borderId="180" applyAlignment="1" pivotButton="0" quotePrefix="0" xfId="7">
      <alignment horizontal="center" vertical="center"/>
    </xf>
    <xf numFmtId="174" fontId="30" fillId="28" borderId="180" applyAlignment="1" pivotButton="0" quotePrefix="0" xfId="7">
      <alignment vertical="center"/>
    </xf>
    <xf numFmtId="0" fontId="30" fillId="28" borderId="180" applyAlignment="1" pivotButton="0" quotePrefix="0" xfId="7">
      <alignment horizontal="center" vertical="center"/>
    </xf>
    <xf numFmtId="174" fontId="30" fillId="28" borderId="180" applyAlignment="1" pivotButton="0" quotePrefix="0" xfId="7">
      <alignment horizontal="center" vertical="center"/>
    </xf>
    <xf numFmtId="175" fontId="30" fillId="28" borderId="180" applyAlignment="1" pivotButton="0" quotePrefix="0" xfId="7">
      <alignment horizontal="center" vertical="center"/>
    </xf>
    <xf numFmtId="10" fontId="30" fillId="28" borderId="277" applyAlignment="1" pivotButton="0" quotePrefix="0" xfId="7">
      <alignment horizontal="center" vertical="center"/>
    </xf>
    <xf numFmtId="3" fontId="30" fillId="0" borderId="175" applyAlignment="1" pivotButton="0" quotePrefix="0" xfId="0">
      <alignment horizontal="left"/>
    </xf>
    <xf numFmtId="0" fontId="30" fillId="0" borderId="175" applyAlignment="1" pivotButton="0" quotePrefix="0" xfId="0">
      <alignment horizontal="center" vertical="center"/>
    </xf>
    <xf numFmtId="1" fontId="30" fillId="29" borderId="175" applyAlignment="1" pivotButton="0" quotePrefix="0" xfId="0">
      <alignment horizontal="center" vertical="center"/>
    </xf>
    <xf numFmtId="0" fontId="30" fillId="29" borderId="175" applyAlignment="1" pivotButton="0" quotePrefix="0" xfId="0">
      <alignment horizontal="center" vertical="center"/>
    </xf>
    <xf numFmtId="3" fontId="30" fillId="29" borderId="271" applyAlignment="1" pivotButton="0" quotePrefix="0" xfId="0">
      <alignment horizontal="center" vertical="center"/>
    </xf>
    <xf numFmtId="3" fontId="30" fillId="15" borderId="175" applyAlignment="1" pivotButton="0" quotePrefix="0" xfId="0">
      <alignment vertical="center"/>
    </xf>
    <xf numFmtId="3" fontId="30" fillId="15" borderId="271" applyAlignment="1" pivotButton="0" quotePrefix="0" xfId="0">
      <alignment horizontal="center" vertical="center"/>
    </xf>
    <xf numFmtId="175" fontId="30" fillId="15" borderId="271" applyAlignment="1" pivotButton="0" quotePrefix="0" xfId="0">
      <alignment horizontal="center" vertical="center"/>
    </xf>
    <xf numFmtId="3" fontId="30" fillId="25" borderId="175" applyAlignment="1" pivotButton="0" quotePrefix="0" xfId="0">
      <alignment horizontal="right" vertical="center"/>
    </xf>
    <xf numFmtId="1" fontId="30" fillId="25" borderId="175" applyAlignment="1" pivotButton="0" quotePrefix="0" xfId="7">
      <alignment vertical="center"/>
    </xf>
    <xf numFmtId="174" fontId="30" fillId="0" borderId="176" applyAlignment="1" pivotButton="0" quotePrefix="0" xfId="7">
      <alignment vertical="center"/>
    </xf>
    <xf numFmtId="174" fontId="30" fillId="28" borderId="263" applyAlignment="1" pivotButton="0" quotePrefix="0" xfId="7">
      <alignment vertical="center"/>
    </xf>
    <xf numFmtId="0" fontId="30" fillId="28" borderId="263" applyAlignment="1" pivotButton="0" quotePrefix="0" xfId="7">
      <alignment horizontal="center" vertical="center"/>
    </xf>
    <xf numFmtId="174" fontId="30" fillId="28" borderId="263" applyAlignment="1" pivotButton="0" quotePrefix="0" xfId="7">
      <alignment horizontal="center" vertical="center"/>
    </xf>
    <xf numFmtId="175" fontId="30" fillId="28" borderId="263" applyAlignment="1" pivotButton="0" quotePrefix="0" xfId="7">
      <alignment horizontal="center" vertical="center"/>
    </xf>
    <xf numFmtId="10" fontId="30" fillId="28" borderId="264" applyAlignment="1" pivotButton="0" quotePrefix="0" xfId="7">
      <alignment horizontal="center" vertical="center"/>
    </xf>
    <xf numFmtId="0" fontId="30" fillId="28" borderId="266" applyAlignment="1" pivotButton="0" quotePrefix="0" xfId="7">
      <alignment horizontal="center" vertical="center"/>
    </xf>
    <xf numFmtId="175" fontId="30" fillId="29" borderId="263" applyAlignment="1" pivotButton="0" quotePrefix="0" xfId="0">
      <alignment horizontal="center" vertical="center"/>
    </xf>
    <xf numFmtId="166" fontId="30" fillId="0" borderId="266" applyAlignment="1" pivotButton="0" quotePrefix="0" xfId="0">
      <alignment horizontal="center" vertical="center"/>
    </xf>
    <xf numFmtId="175" fontId="30" fillId="29" borderId="267" applyAlignment="1" pivotButton="0" quotePrefix="0" xfId="0">
      <alignment horizontal="center" vertical="center"/>
    </xf>
    <xf numFmtId="175" fontId="30" fillId="29" borderId="271" applyAlignment="1" pivotButton="0" quotePrefix="0" xfId="0">
      <alignment horizontal="center" vertical="center"/>
    </xf>
    <xf numFmtId="173" fontId="30" fillId="25" borderId="263" applyAlignment="1" pivotButton="0" quotePrefix="0" xfId="0">
      <alignment horizontal="right" vertical="center"/>
    </xf>
    <xf numFmtId="173" fontId="30" fillId="29" borderId="267" applyAlignment="1" pivotButton="0" quotePrefix="0" xfId="0">
      <alignment horizontal="center" vertical="center"/>
    </xf>
    <xf numFmtId="9" fontId="30" fillId="25" borderId="267" applyAlignment="1" pivotButton="0" quotePrefix="0" xfId="7">
      <alignment horizontal="right" vertical="center"/>
    </xf>
    <xf numFmtId="1" fontId="30" fillId="25" borderId="267" applyAlignment="1" pivotButton="0" quotePrefix="0" xfId="7">
      <alignment horizontal="right" vertical="center"/>
    </xf>
    <xf numFmtId="3" fontId="30" fillId="28" borderId="267" applyAlignment="1" pivotButton="0" quotePrefix="0" xfId="7">
      <alignment horizontal="center" vertical="center"/>
    </xf>
    <xf numFmtId="174" fontId="30" fillId="28" borderId="267" applyAlignment="1" pivotButton="0" quotePrefix="0" xfId="7">
      <alignment horizontal="center" vertical="center"/>
    </xf>
    <xf numFmtId="0" fontId="30" fillId="28" borderId="267" applyAlignment="1" pivotButton="0" quotePrefix="0" xfId="7">
      <alignment horizontal="center" vertical="center"/>
    </xf>
    <xf numFmtId="175" fontId="30" fillId="28" borderId="267" applyAlignment="1" pivotButton="0" quotePrefix="0" xfId="7">
      <alignment horizontal="center" vertical="center"/>
    </xf>
    <xf numFmtId="9" fontId="30" fillId="28" borderId="268" applyAlignment="1" pivotButton="0" quotePrefix="0" xfId="7">
      <alignment horizontal="center" vertical="center"/>
    </xf>
    <xf numFmtId="9" fontId="30" fillId="25" borderId="263" applyAlignment="1" pivotButton="0" quotePrefix="0" xfId="7">
      <alignment horizontal="right" vertical="center"/>
    </xf>
    <xf numFmtId="1" fontId="30" fillId="25" borderId="263" applyAlignment="1" pivotButton="0" quotePrefix="0" xfId="7">
      <alignment horizontal="right" vertical="center"/>
    </xf>
    <xf numFmtId="3" fontId="30" fillId="25" borderId="266" applyAlignment="1" pivotButton="0" quotePrefix="0" xfId="7">
      <alignment horizontal="right" vertical="center"/>
    </xf>
    <xf numFmtId="1" fontId="30" fillId="25" borderId="266" applyAlignment="1" pivotButton="0" quotePrefix="0" xfId="7">
      <alignment horizontal="right" vertical="center"/>
    </xf>
    <xf numFmtId="9" fontId="30" fillId="25" borderId="266" applyAlignment="1" pivotButton="0" quotePrefix="0" xfId="7">
      <alignment horizontal="right" vertical="center"/>
    </xf>
    <xf numFmtId="3" fontId="30" fillId="28" borderId="266" applyAlignment="1" pivotButton="0" quotePrefix="0" xfId="7">
      <alignment horizontal="center" vertical="center"/>
    </xf>
    <xf numFmtId="3" fontId="30" fillId="29" borderId="263" applyAlignment="1" pivotButton="0" quotePrefix="0" xfId="0">
      <alignment horizontal="center" vertical="center"/>
    </xf>
    <xf numFmtId="3" fontId="30" fillId="15" borderId="263" applyAlignment="1" pivotButton="0" quotePrefix="0" xfId="0">
      <alignment horizontal="center" vertical="center"/>
    </xf>
    <xf numFmtId="175" fontId="30" fillId="15" borderId="263" applyAlignment="1" pivotButton="0" quotePrefix="0" xfId="0">
      <alignment horizontal="center" vertical="center"/>
    </xf>
    <xf numFmtId="3" fontId="30" fillId="25" borderId="263" applyAlignment="1" pivotButton="0" quotePrefix="0" xfId="7">
      <alignment horizontal="right" vertical="center"/>
    </xf>
    <xf numFmtId="3" fontId="30" fillId="0" borderId="263" applyAlignment="1" pivotButton="0" quotePrefix="0" xfId="0">
      <alignment horizontal="center" vertical="center"/>
    </xf>
    <xf numFmtId="3" fontId="30" fillId="28" borderId="263" applyAlignment="1" pivotButton="0" quotePrefix="0" xfId="7">
      <alignment horizontal="center" vertical="center"/>
    </xf>
    <xf numFmtId="0" fontId="30" fillId="0" borderId="267" applyAlignment="1" pivotButton="0" quotePrefix="0" xfId="0">
      <alignment horizontal="center" vertical="center"/>
    </xf>
    <xf numFmtId="3" fontId="30" fillId="25" borderId="267" applyAlignment="1" pivotButton="0" quotePrefix="0" xfId="7">
      <alignment horizontal="right" vertical="center"/>
    </xf>
    <xf numFmtId="3" fontId="30" fillId="25" borderId="24" applyAlignment="1" pivotButton="0" quotePrefix="0" xfId="7">
      <alignment horizontal="right" vertical="center"/>
    </xf>
    <xf numFmtId="1" fontId="30" fillId="25" borderId="24" applyAlignment="1" pivotButton="0" quotePrefix="0" xfId="7">
      <alignment horizontal="right" vertical="center"/>
    </xf>
    <xf numFmtId="9" fontId="30" fillId="25" borderId="24" applyAlignment="1" pivotButton="0" quotePrefix="0" xfId="7">
      <alignment horizontal="right" vertical="center"/>
    </xf>
    <xf numFmtId="173" fontId="30" fillId="28" borderId="267" applyAlignment="1" pivotButton="0" quotePrefix="0" xfId="7">
      <alignment horizontal="center" vertical="center"/>
    </xf>
    <xf numFmtId="174" fontId="30" fillId="28" borderId="268" applyAlignment="1" pivotButton="0" quotePrefix="0" xfId="7">
      <alignment horizontal="center" vertical="center"/>
    </xf>
    <xf numFmtId="2" fontId="30" fillId="29" borderId="263" applyAlignment="1" pivotButton="0" quotePrefix="0" xfId="0">
      <alignment horizontal="center" vertical="center"/>
    </xf>
    <xf numFmtId="173" fontId="30" fillId="28" borderId="263" applyAlignment="1" pivotButton="0" quotePrefix="0" xfId="7">
      <alignment horizontal="center" vertical="center"/>
    </xf>
    <xf numFmtId="174" fontId="30" fillId="28" borderId="264" applyAlignment="1" pivotButton="0" quotePrefix="0" xfId="7">
      <alignment horizontal="center" vertical="center"/>
    </xf>
    <xf numFmtId="166" fontId="30" fillId="0" borderId="274" applyAlignment="1" pivotButton="0" quotePrefix="0" xfId="0">
      <alignment horizontal="center" vertical="center"/>
    </xf>
    <xf numFmtId="173" fontId="30" fillId="29" borderId="274" applyAlignment="1" pivotButton="0" quotePrefix="0" xfId="0">
      <alignment horizontal="center" vertical="center"/>
    </xf>
    <xf numFmtId="3" fontId="30" fillId="15" borderId="274" applyAlignment="1" pivotButton="0" quotePrefix="0" xfId="0">
      <alignment horizontal="right" vertical="center"/>
    </xf>
    <xf numFmtId="9" fontId="30" fillId="25" borderId="274" applyAlignment="1" pivotButton="0" quotePrefix="0" xfId="7">
      <alignment horizontal="right" vertical="center"/>
    </xf>
    <xf numFmtId="1" fontId="30" fillId="25" borderId="274" applyAlignment="1" pivotButton="0" quotePrefix="0" xfId="7">
      <alignment horizontal="right" vertical="center"/>
    </xf>
    <xf numFmtId="0" fontId="30" fillId="28" borderId="274" applyAlignment="1" pivotButton="0" quotePrefix="0" xfId="7">
      <alignment horizontal="center" vertical="center"/>
    </xf>
    <xf numFmtId="3" fontId="30" fillId="15" borderId="266" applyAlignment="1" pivotButton="0" quotePrefix="0" xfId="0">
      <alignment horizontal="center" vertical="center"/>
    </xf>
    <xf numFmtId="3" fontId="30" fillId="0" borderId="266" applyAlignment="1" pivotButton="0" quotePrefix="0" xfId="0">
      <alignment horizontal="center" vertical="center"/>
    </xf>
    <xf numFmtId="174" fontId="30" fillId="0" borderId="266" applyAlignment="1" pivotButton="0" quotePrefix="0" xfId="7">
      <alignment horizontal="center" vertical="center"/>
    </xf>
    <xf numFmtId="3" fontId="30" fillId="0" borderId="24" applyAlignment="1" pivotButton="0" quotePrefix="0" xfId="0">
      <alignment horizontal="center" vertical="center"/>
    </xf>
    <xf numFmtId="174" fontId="30" fillId="0" borderId="24" applyAlignment="1" pivotButton="0" quotePrefix="0" xfId="7">
      <alignment horizontal="center" vertical="center"/>
    </xf>
    <xf numFmtId="3" fontId="30" fillId="28" borderId="24" applyAlignment="1" pivotButton="0" quotePrefix="0" xfId="7">
      <alignment horizontal="center" vertical="center"/>
    </xf>
    <xf numFmtId="174" fontId="30" fillId="28" borderId="24" applyAlignment="1" pivotButton="0" quotePrefix="0" xfId="7">
      <alignment horizontal="center" vertical="center"/>
    </xf>
    <xf numFmtId="0" fontId="30" fillId="28" borderId="24" applyAlignment="1" pivotButton="0" quotePrefix="0" xfId="7">
      <alignment horizontal="center" vertical="center"/>
    </xf>
    <xf numFmtId="175" fontId="30" fillId="28" borderId="24" applyAlignment="1" pivotButton="0" quotePrefix="0" xfId="7">
      <alignment horizontal="center" vertical="center"/>
    </xf>
    <xf numFmtId="10" fontId="30" fillId="28" borderId="278" applyAlignment="1" pivotButton="0" quotePrefix="0" xfId="7">
      <alignment horizontal="center" vertical="center"/>
    </xf>
    <xf numFmtId="166" fontId="30" fillId="0" borderId="271" applyAlignment="1" pivotButton="0" quotePrefix="0" xfId="0">
      <alignment horizontal="center" vertical="center"/>
    </xf>
    <xf numFmtId="173" fontId="30" fillId="29" borderId="271" applyAlignment="1" pivotButton="0" quotePrefix="0" xfId="0">
      <alignment horizontal="center" vertical="center"/>
    </xf>
    <xf numFmtId="9" fontId="30" fillId="25" borderId="271" applyAlignment="1" pivotButton="0" quotePrefix="0" xfId="7">
      <alignment horizontal="right" vertical="center"/>
    </xf>
    <xf numFmtId="1" fontId="30" fillId="25" borderId="271" applyAlignment="1" pivotButton="0" quotePrefix="0" xfId="7">
      <alignment horizontal="right" vertical="center"/>
    </xf>
    <xf numFmtId="174" fontId="30" fillId="0" borderId="263" applyAlignment="1" pivotButton="0" quotePrefix="0" xfId="7">
      <alignment horizontal="center" vertical="center"/>
    </xf>
    <xf numFmtId="173" fontId="30" fillId="29" borderId="175" applyAlignment="1" pivotButton="0" quotePrefix="0" xfId="0">
      <alignment horizontal="center" vertical="center"/>
    </xf>
    <xf numFmtId="3" fontId="30" fillId="15" borderId="175" applyAlignment="1" pivotButton="0" quotePrefix="0" xfId="0">
      <alignment horizontal="right" vertical="center"/>
    </xf>
    <xf numFmtId="9" fontId="30" fillId="25" borderId="175" applyAlignment="1" pivotButton="0" quotePrefix="0" xfId="7">
      <alignment horizontal="right" vertical="center"/>
    </xf>
    <xf numFmtId="1" fontId="30" fillId="25" borderId="175" applyAlignment="1" pivotButton="0" quotePrefix="0" xfId="7">
      <alignment horizontal="right" vertical="center"/>
    </xf>
    <xf numFmtId="9" fontId="30" fillId="25" borderId="175" applyAlignment="1" pivotButton="0" quotePrefix="0" xfId="7">
      <alignment vertical="center"/>
    </xf>
    <xf numFmtId="3" fontId="42" fillId="0" borderId="0" pivotButton="0" quotePrefix="0" xfId="0"/>
    <xf numFmtId="3" fontId="30" fillId="25" borderId="180" applyAlignment="1" pivotButton="0" quotePrefix="0" xfId="0">
      <alignment horizontal="right" vertical="center"/>
    </xf>
    <xf numFmtId="9" fontId="30" fillId="25" borderId="180" applyAlignment="1" pivotButton="0" quotePrefix="0" xfId="7">
      <alignment horizontal="right" vertical="center"/>
    </xf>
    <xf numFmtId="1" fontId="30" fillId="25" borderId="180" applyAlignment="1" pivotButton="0" quotePrefix="0" xfId="7">
      <alignment horizontal="right" vertical="center"/>
    </xf>
    <xf numFmtId="9" fontId="30" fillId="25" borderId="180" applyAlignment="1" pivotButton="0" quotePrefix="0" xfId="7">
      <alignment vertical="center"/>
    </xf>
    <xf numFmtId="0" fontId="30" fillId="0" borderId="176" applyAlignment="1" pivotButton="0" quotePrefix="0" xfId="0">
      <alignment horizontal="center" vertical="center"/>
    </xf>
    <xf numFmtId="175" fontId="30" fillId="15" borderId="176" applyAlignment="1" pivotButton="0" quotePrefix="0" xfId="0">
      <alignment horizontal="center" vertical="center"/>
    </xf>
    <xf numFmtId="3" fontId="30" fillId="25" borderId="176" applyAlignment="1" pivotButton="0" quotePrefix="0" xfId="0">
      <alignment horizontal="right" vertical="center"/>
    </xf>
    <xf numFmtId="1" fontId="30" fillId="25" borderId="176" applyAlignment="1" pivotButton="0" quotePrefix="0" xfId="7">
      <alignment horizontal="right" vertical="center"/>
    </xf>
    <xf numFmtId="174" fontId="30" fillId="0" borderId="267" applyAlignment="1" pivotButton="0" quotePrefix="0" xfId="7">
      <alignment horizontal="center" vertical="center"/>
    </xf>
    <xf numFmtId="3" fontId="30" fillId="28" borderId="176" applyAlignment="1" pivotButton="0" quotePrefix="0" xfId="7">
      <alignment horizontal="center" vertical="center"/>
    </xf>
    <xf numFmtId="174" fontId="30" fillId="28" borderId="176" applyAlignment="1" pivotButton="0" quotePrefix="0" xfId="7">
      <alignment horizontal="center" vertical="center"/>
    </xf>
    <xf numFmtId="4" fontId="30" fillId="28" borderId="271" applyAlignment="1" pivotButton="0" quotePrefix="0" xfId="7">
      <alignment horizontal="center" vertical="center"/>
    </xf>
    <xf numFmtId="10" fontId="30" fillId="28" borderId="269" applyAlignment="1" pivotButton="0" quotePrefix="0" xfId="7">
      <alignment horizontal="center" vertical="center"/>
    </xf>
    <xf numFmtId="175" fontId="30" fillId="29" borderId="176" applyAlignment="1" pivotButton="0" quotePrefix="0" xfId="0">
      <alignment horizontal="center" vertical="center"/>
    </xf>
    <xf numFmtId="0" fontId="30" fillId="28" borderId="176" applyAlignment="1" pivotButton="0" quotePrefix="0" xfId="7">
      <alignment horizontal="center" vertical="center"/>
    </xf>
    <xf numFmtId="175" fontId="30" fillId="28" borderId="176" applyAlignment="1" pivotButton="0" quotePrefix="0" xfId="7">
      <alignment horizontal="center" vertical="center"/>
    </xf>
    <xf numFmtId="3" fontId="30" fillId="29" borderId="281" applyAlignment="1" pivotButton="0" quotePrefix="0" xfId="0">
      <alignment horizontal="center" vertical="center"/>
    </xf>
    <xf numFmtId="3" fontId="30" fillId="15" borderId="282" applyAlignment="1" pivotButton="0" quotePrefix="0" xfId="0">
      <alignment horizontal="center" vertical="center"/>
    </xf>
    <xf numFmtId="175" fontId="30" fillId="25" borderId="282" applyAlignment="1" pivotButton="0" quotePrefix="0" xfId="0">
      <alignment horizontal="center" vertical="center"/>
    </xf>
    <xf numFmtId="3" fontId="30" fillId="25" borderId="282" applyAlignment="1" pivotButton="0" quotePrefix="0" xfId="0">
      <alignment horizontal="center" vertical="center"/>
    </xf>
    <xf numFmtId="174" fontId="30" fillId="25" borderId="282" applyAlignment="1" pivotButton="0" quotePrefix="0" xfId="7">
      <alignment horizontal="center" vertical="center"/>
    </xf>
    <xf numFmtId="9" fontId="30" fillId="25" borderId="282" applyAlignment="1" pivotButton="0" quotePrefix="0" xfId="7">
      <alignment horizontal="center" vertical="center"/>
    </xf>
    <xf numFmtId="3" fontId="30" fillId="5" borderId="282" applyAlignment="1" pivotButton="0" quotePrefix="0" xfId="0">
      <alignment horizontal="center" vertical="center"/>
    </xf>
    <xf numFmtId="3" fontId="30" fillId="5" borderId="282" applyAlignment="1" pivotButton="0" quotePrefix="0" xfId="7">
      <alignment horizontal="center" vertical="center"/>
    </xf>
    <xf numFmtId="3" fontId="30" fillId="28" borderId="282" applyAlignment="1" pivotButton="0" quotePrefix="0" xfId="0">
      <alignment horizontal="center" vertical="center"/>
    </xf>
    <xf numFmtId="174" fontId="30" fillId="28" borderId="282" applyAlignment="1" pivotButton="0" quotePrefix="0" xfId="7">
      <alignment horizontal="center" vertical="center"/>
    </xf>
    <xf numFmtId="175" fontId="30" fillId="28" borderId="282" applyAlignment="1" pivotButton="0" quotePrefix="0" xfId="0">
      <alignment horizontal="center" vertical="center"/>
    </xf>
    <xf numFmtId="174" fontId="30" fillId="28" borderId="283" applyAlignment="1" pivotButton="0" quotePrefix="0" xfId="7">
      <alignment horizontal="center" vertical="center"/>
    </xf>
    <xf numFmtId="3" fontId="41" fillId="0" borderId="0" applyAlignment="1" pivotButton="0" quotePrefix="0" xfId="0">
      <alignment horizontal="left"/>
    </xf>
    <xf numFmtId="176" fontId="41" fillId="0" borderId="0" applyAlignment="1" pivotButton="0" quotePrefix="0" xfId="0">
      <alignment horizontal="left"/>
    </xf>
    <xf numFmtId="0" fontId="0" fillId="0" borderId="172" pivotButton="0" quotePrefix="0" xfId="0"/>
    <xf numFmtId="3" fontId="0" fillId="0" borderId="0" pivotButton="0" quotePrefix="0" xfId="0"/>
    <xf numFmtId="176" fontId="0" fillId="0" borderId="0" pivotButton="0" quotePrefix="0" xfId="0"/>
    <xf numFmtId="175" fontId="0" fillId="0" borderId="0" pivotButton="0" quotePrefix="0" xfId="0"/>
    <xf numFmtId="9" fontId="30" fillId="0" borderId="172" applyAlignment="1" pivotButton="0" quotePrefix="0" xfId="7">
      <alignment horizontal="right" vertical="center"/>
    </xf>
    <xf numFmtId="3" fontId="0" fillId="0" borderId="0" applyAlignment="1" pivotButton="0" quotePrefix="0" xfId="0">
      <alignment horizontal="left"/>
    </xf>
    <xf numFmtId="177" fontId="0" fillId="0" borderId="0" pivotButton="0" quotePrefix="0" xfId="0"/>
    <xf numFmtId="178" fontId="0" fillId="0" borderId="0" pivotButton="0" quotePrefix="0" xfId="0"/>
    <xf numFmtId="179" fontId="0" fillId="0" borderId="0" pivotButton="0" quotePrefix="0" xfId="7"/>
    <xf numFmtId="9" fontId="0" fillId="0" borderId="0" pivotButton="0" quotePrefix="0" xfId="7"/>
    <xf numFmtId="9" fontId="50" fillId="0" borderId="112" pivotButton="0" quotePrefix="0" xfId="7"/>
    <xf numFmtId="9" fontId="50" fillId="0" borderId="260" pivotButton="0" quotePrefix="0" xfId="7"/>
    <xf numFmtId="0" fontId="50" fillId="0" borderId="24" applyAlignment="1" pivotButton="0" quotePrefix="0" xfId="0">
      <alignment horizontal="center" vertical="center"/>
    </xf>
    <xf numFmtId="0" fontId="54" fillId="0" borderId="0" pivotButton="0" quotePrefix="0" xfId="0"/>
    <xf numFmtId="0" fontId="37" fillId="0" borderId="0" pivotButton="0" quotePrefix="0" xfId="0"/>
    <xf numFmtId="175" fontId="30" fillId="0" borderId="0" pivotButton="0" quotePrefix="0" xfId="0"/>
    <xf numFmtId="0" fontId="55" fillId="0" borderId="0" pivotButton="0" quotePrefix="0" xfId="0"/>
    <xf numFmtId="174" fontId="0" fillId="0" borderId="0" pivotButton="0" quotePrefix="0" xfId="7"/>
    <xf numFmtId="10" fontId="0" fillId="0" borderId="0" pivotButton="0" quotePrefix="0" xfId="0"/>
    <xf numFmtId="175" fontId="0" fillId="0" borderId="0" applyAlignment="1" pivotButton="0" quotePrefix="0" xfId="0">
      <alignment horizontal="left"/>
    </xf>
    <xf numFmtId="9" fontId="56" fillId="0" borderId="112" pivotButton="0" quotePrefix="0" xfId="7"/>
    <xf numFmtId="9" fontId="56" fillId="0" borderId="260" pivotButton="0" quotePrefix="0" xfId="7"/>
    <xf numFmtId="1" fontId="57" fillId="0" borderId="24" applyAlignment="1" pivotButton="0" quotePrefix="0" xfId="0">
      <alignment horizontal="center" vertical="center"/>
    </xf>
    <xf numFmtId="175" fontId="51" fillId="0" borderId="0" pivotButton="0" quotePrefix="0" xfId="0"/>
    <xf numFmtId="0" fontId="42" fillId="0" borderId="0" pivotButton="0" quotePrefix="0" xfId="0"/>
    <xf numFmtId="0" fontId="55" fillId="0" borderId="0" applyAlignment="1" pivotButton="0" quotePrefix="0" xfId="0">
      <alignment wrapText="1"/>
    </xf>
    <xf numFmtId="9" fontId="50" fillId="7" borderId="112" pivotButton="0" quotePrefix="0" xfId="7"/>
    <xf numFmtId="9" fontId="50" fillId="7" borderId="260" pivotButton="0" quotePrefix="0" xfId="7"/>
    <xf numFmtId="1" fontId="28" fillId="7" borderId="24" applyAlignment="1" pivotButton="0" quotePrefix="0" xfId="0">
      <alignment horizontal="center" vertical="center"/>
    </xf>
    <xf numFmtId="0" fontId="28" fillId="7" borderId="24" applyAlignment="1" pivotButton="0" quotePrefix="0" xfId="0">
      <alignment horizontal="center" vertical="center"/>
    </xf>
    <xf numFmtId="174" fontId="0" fillId="0" borderId="0" pivotButton="0" quotePrefix="0" xfId="7"/>
    <xf numFmtId="14" fontId="58" fillId="3" borderId="165" applyAlignment="1" pivotButton="0" quotePrefix="0" xfId="0">
      <alignment horizontal="center" vertical="center" wrapText="1"/>
    </xf>
    <xf numFmtId="3" fontId="58" fillId="3" borderId="288" applyAlignment="1" pivotButton="0" quotePrefix="0" xfId="0">
      <alignment horizontal="center" vertical="center" wrapText="1"/>
    </xf>
    <xf numFmtId="3" fontId="58" fillId="3" borderId="68" applyAlignment="1" pivotButton="0" quotePrefix="0" xfId="0">
      <alignment horizontal="center" vertical="center" wrapText="1"/>
    </xf>
    <xf numFmtId="3" fontId="58" fillId="3" borderId="289" applyAlignment="1" pivotButton="0" quotePrefix="0" xfId="0">
      <alignment horizontal="center" vertical="center" wrapText="1"/>
    </xf>
    <xf numFmtId="3" fontId="58" fillId="7" borderId="290" applyAlignment="1" pivotButton="0" quotePrefix="0" xfId="0">
      <alignment horizontal="center" vertical="center" wrapText="1"/>
    </xf>
    <xf numFmtId="3" fontId="58" fillId="3" borderId="289" applyAlignment="1" pivotButton="0" quotePrefix="0" xfId="0">
      <alignment horizontal="center" vertical="center"/>
    </xf>
    <xf numFmtId="49" fontId="59" fillId="9" borderId="291" applyAlignment="1" pivotButton="0" quotePrefix="0" xfId="0">
      <alignment horizontal="center" vertical="center"/>
    </xf>
    <xf numFmtId="49" fontId="59" fillId="2" borderId="284" applyAlignment="1" pivotButton="0" quotePrefix="0" xfId="0">
      <alignment horizontal="left" vertical="center"/>
    </xf>
    <xf numFmtId="3" fontId="59" fillId="9" borderId="288" applyAlignment="1" pivotButton="0" quotePrefix="0" xfId="0">
      <alignment horizontal="right" vertical="center"/>
    </xf>
    <xf numFmtId="3" fontId="59" fillId="2" borderId="68" applyAlignment="1" pivotButton="0" quotePrefix="0" xfId="0">
      <alignment horizontal="right" vertical="center"/>
    </xf>
    <xf numFmtId="3" fontId="59" fillId="9" borderId="68" applyAlignment="1" pivotButton="0" quotePrefix="0" xfId="0">
      <alignment horizontal="right" vertical="center"/>
    </xf>
    <xf numFmtId="3" fontId="58" fillId="2" borderId="68" applyAlignment="1" pivotButton="0" quotePrefix="0" xfId="0">
      <alignment horizontal="right" vertical="center"/>
    </xf>
    <xf numFmtId="3" fontId="58" fillId="9" borderId="284" applyAlignment="1" pivotButton="0" quotePrefix="0" xfId="0">
      <alignment horizontal="right" vertical="center"/>
    </xf>
    <xf numFmtId="3" fontId="58" fillId="2" borderId="289" applyAlignment="1" pivotButton="0" quotePrefix="0" xfId="0">
      <alignment horizontal="right" vertical="center"/>
    </xf>
    <xf numFmtId="3" fontId="60" fillId="9" borderId="290" applyAlignment="1" pivotButton="0" quotePrefix="0" xfId="0">
      <alignment horizontal="right" vertical="center"/>
    </xf>
    <xf numFmtId="3" fontId="59" fillId="9" borderId="289" applyAlignment="1" pivotButton="0" quotePrefix="0" xfId="0">
      <alignment horizontal="right" vertical="center"/>
    </xf>
    <xf numFmtId="9" fontId="59" fillId="9" borderId="68" applyAlignment="1" pivotButton="0" quotePrefix="0" xfId="0">
      <alignment horizontal="right" vertical="center"/>
    </xf>
    <xf numFmtId="0" fontId="61" fillId="0" borderId="0" applyAlignment="1" pivotButton="0" quotePrefix="0" xfId="0">
      <alignment horizontal="left" vertical="center"/>
    </xf>
    <xf numFmtId="0" fontId="61" fillId="0" borderId="0" pivotButton="0" quotePrefix="0" xfId="0"/>
    <xf numFmtId="49" fontId="59" fillId="9" borderId="284" applyAlignment="1" pivotButton="0" quotePrefix="0" xfId="0">
      <alignment horizontal="center" vertical="center"/>
    </xf>
    <xf numFmtId="3" fontId="62" fillId="2" borderId="289" applyAlignment="1" pivotButton="0" quotePrefix="0" xfId="0">
      <alignment horizontal="right" vertical="center"/>
    </xf>
    <xf numFmtId="3" fontId="47" fillId="9" borderId="288" applyAlignment="1" pivotButton="0" quotePrefix="0" xfId="0">
      <alignment horizontal="right" vertical="center"/>
    </xf>
    <xf numFmtId="3" fontId="58" fillId="9" borderId="292" applyAlignment="1" pivotButton="0" quotePrefix="0" xfId="0">
      <alignment horizontal="right" vertical="center"/>
    </xf>
    <xf numFmtId="3" fontId="58" fillId="2" borderId="292" applyAlignment="1" pivotButton="0" quotePrefix="0" xfId="0">
      <alignment horizontal="right" vertical="center"/>
    </xf>
    <xf numFmtId="3" fontId="59" fillId="2" borderId="288" applyAlignment="1" pivotButton="0" quotePrefix="0" xfId="0">
      <alignment horizontal="right" vertical="center"/>
    </xf>
    <xf numFmtId="3" fontId="59" fillId="2" borderId="299" applyAlignment="1" pivotButton="0" quotePrefix="0" xfId="0">
      <alignment horizontal="right" vertical="center"/>
    </xf>
    <xf numFmtId="3" fontId="59" fillId="9" borderId="299" applyAlignment="1" pivotButton="0" quotePrefix="0" xfId="0">
      <alignment horizontal="right" vertical="center"/>
    </xf>
    <xf numFmtId="0" fontId="61" fillId="7" borderId="0" applyAlignment="1" pivotButton="0" quotePrefix="0" xfId="0">
      <alignment horizontal="left" vertical="center"/>
    </xf>
    <xf numFmtId="49" fontId="59" fillId="9" borderId="292" applyAlignment="1" pivotButton="0" quotePrefix="0" xfId="0">
      <alignment horizontal="center" vertical="center"/>
    </xf>
    <xf numFmtId="0" fontId="61" fillId="4" borderId="0" applyAlignment="1" pivotButton="0" quotePrefix="0" xfId="0">
      <alignment horizontal="left" vertical="center"/>
    </xf>
    <xf numFmtId="3" fontId="60" fillId="2" borderId="289" applyAlignment="1" pivotButton="0" quotePrefix="0" xfId="0">
      <alignment horizontal="right" vertical="center"/>
    </xf>
    <xf numFmtId="3" fontId="60" fillId="2" borderId="290" applyAlignment="1" pivotButton="0" quotePrefix="0" xfId="0">
      <alignment horizontal="right" vertical="center"/>
    </xf>
    <xf numFmtId="49" fontId="59" fillId="9" borderId="68" applyAlignment="1" pivotButton="0" quotePrefix="0" xfId="0">
      <alignment horizontal="center" vertical="center"/>
    </xf>
    <xf numFmtId="49" fontId="59" fillId="2" borderId="296" applyAlignment="1" pivotButton="0" quotePrefix="0" xfId="0">
      <alignment horizontal="left" vertical="center"/>
    </xf>
    <xf numFmtId="3" fontId="59" fillId="9" borderId="300" applyAlignment="1" pivotButton="0" quotePrefix="0" xfId="0">
      <alignment horizontal="right" vertical="center"/>
    </xf>
    <xf numFmtId="3" fontId="59" fillId="9" borderId="286" applyAlignment="1" pivotButton="0" quotePrefix="0" xfId="0">
      <alignment horizontal="right" vertical="center"/>
    </xf>
    <xf numFmtId="3" fontId="58" fillId="2" borderId="293" applyAlignment="1" pivotButton="0" quotePrefix="0" xfId="0">
      <alignment horizontal="right" vertical="center"/>
    </xf>
    <xf numFmtId="3" fontId="60" fillId="9" borderId="294" applyAlignment="1" pivotButton="0" quotePrefix="0" xfId="0">
      <alignment horizontal="right" vertical="center"/>
    </xf>
    <xf numFmtId="3" fontId="59" fillId="9" borderId="291" applyAlignment="1" pivotButton="0" quotePrefix="0" xfId="0">
      <alignment horizontal="right" vertical="center"/>
    </xf>
    <xf numFmtId="49" fontId="59" fillId="9" borderId="296" applyAlignment="1" pivotButton="0" quotePrefix="0" xfId="0">
      <alignment horizontal="center" vertical="center"/>
    </xf>
    <xf numFmtId="3" fontId="58" fillId="30" borderId="288" applyAlignment="1" pivotButton="0" quotePrefix="0" xfId="0">
      <alignment horizontal="right" vertical="center"/>
    </xf>
    <xf numFmtId="3" fontId="58" fillId="30" borderId="68" applyAlignment="1" pivotButton="0" quotePrefix="0" xfId="0">
      <alignment horizontal="right" vertical="center"/>
    </xf>
    <xf numFmtId="3" fontId="58" fillId="30" borderId="289" applyAlignment="1" pivotButton="0" quotePrefix="0" xfId="0">
      <alignment horizontal="right" vertical="center"/>
    </xf>
    <xf numFmtId="9" fontId="58" fillId="30" borderId="68" applyAlignment="1" pivotButton="0" quotePrefix="0" xfId="0">
      <alignment horizontal="right" vertical="center"/>
    </xf>
    <xf numFmtId="3" fontId="61" fillId="0" borderId="0" pivotButton="0" quotePrefix="0" xfId="0"/>
    <xf numFmtId="3" fontId="63" fillId="0" borderId="0" pivotButton="0" quotePrefix="0" xfId="0"/>
    <xf numFmtId="174" fontId="63" fillId="0" borderId="0" pivotButton="0" quotePrefix="0" xfId="0"/>
    <xf numFmtId="0" fontId="63" fillId="0" borderId="0" applyAlignment="1" pivotButton="0" quotePrefix="0" xfId="0">
      <alignment vertical="center"/>
    </xf>
    <xf numFmtId="0" fontId="63" fillId="0" borderId="0" pivotButton="0" quotePrefix="0" xfId="0"/>
    <xf numFmtId="3" fontId="58" fillId="3" borderId="306" applyAlignment="1" pivotButton="0" quotePrefix="0" xfId="0">
      <alignment horizontal="center" vertical="center" wrapText="1"/>
    </xf>
    <xf numFmtId="3" fontId="58" fillId="3" borderId="307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/>
    </xf>
    <xf numFmtId="49" fontId="59" fillId="8" borderId="284" applyAlignment="1" pivotButton="0" quotePrefix="0" xfId="0">
      <alignment horizontal="center" vertical="center"/>
    </xf>
    <xf numFmtId="49" fontId="59" fillId="8" borderId="284" applyAlignment="1" pivotButton="0" quotePrefix="0" xfId="0">
      <alignment horizontal="left" vertical="center"/>
    </xf>
    <xf numFmtId="3" fontId="59" fillId="2" borderId="306" applyAlignment="1" pivotButton="0" quotePrefix="0" xfId="0">
      <alignment horizontal="right" vertical="center"/>
    </xf>
    <xf numFmtId="3" fontId="62" fillId="2" borderId="68" applyAlignment="1" pivotButton="0" quotePrefix="0" xfId="0">
      <alignment horizontal="right" vertical="center"/>
    </xf>
    <xf numFmtId="3" fontId="60" fillId="9" borderId="289" applyAlignment="1" pivotButton="0" quotePrefix="0" xfId="0">
      <alignment horizontal="right" vertical="center"/>
    </xf>
    <xf numFmtId="3" fontId="60" fillId="2" borderId="307" applyAlignment="1" pivotButton="0" quotePrefix="0" xfId="0">
      <alignment horizontal="right" vertical="center"/>
    </xf>
    <xf numFmtId="3" fontId="60" fillId="7" borderId="307" applyAlignment="1" pivotButton="0" quotePrefix="0" xfId="0">
      <alignment horizontal="right" vertical="center"/>
    </xf>
    <xf numFmtId="3" fontId="59" fillId="9" borderId="306" applyAlignment="1" pivotButton="0" quotePrefix="0" xfId="0">
      <alignment horizontal="right" vertical="center"/>
    </xf>
    <xf numFmtId="3" fontId="58" fillId="9" borderId="68" applyAlignment="1" pivotButton="0" quotePrefix="0" xfId="0">
      <alignment horizontal="right" vertical="center"/>
    </xf>
    <xf numFmtId="0" fontId="47" fillId="0" borderId="0" applyAlignment="1" pivotButton="0" quotePrefix="0" xfId="0">
      <alignment horizontal="left" vertical="center"/>
    </xf>
    <xf numFmtId="49" fontId="59" fillId="4" borderId="284" applyAlignment="1" pivotButton="0" quotePrefix="0" xfId="0">
      <alignment horizontal="center" vertical="center"/>
    </xf>
    <xf numFmtId="49" fontId="59" fillId="4" borderId="284" applyAlignment="1" pivotButton="0" quotePrefix="0" xfId="0">
      <alignment horizontal="left" vertical="center"/>
    </xf>
    <xf numFmtId="0" fontId="47" fillId="0" borderId="0" applyAlignment="1" pivotButton="0" quotePrefix="0" xfId="0">
      <alignment vertical="center"/>
    </xf>
    <xf numFmtId="0" fontId="59" fillId="8" borderId="284" applyAlignment="1" pivotButton="0" quotePrefix="0" xfId="0">
      <alignment horizontal="center" vertical="center"/>
    </xf>
    <xf numFmtId="49" fontId="59" fillId="2" borderId="284" applyAlignment="1" pivotButton="0" quotePrefix="0" xfId="0">
      <alignment horizontal="center" vertical="center"/>
    </xf>
    <xf numFmtId="49" fontId="59" fillId="31" borderId="284" applyAlignment="1" pivotButton="0" quotePrefix="0" xfId="0">
      <alignment horizontal="center" vertical="center"/>
    </xf>
    <xf numFmtId="49" fontId="59" fillId="31" borderId="284" applyAlignment="1" pivotButton="0" quotePrefix="0" xfId="0">
      <alignment horizontal="left" vertical="center"/>
    </xf>
    <xf numFmtId="0" fontId="59" fillId="4" borderId="284" applyAlignment="1" pivotButton="0" quotePrefix="0" xfId="0">
      <alignment horizontal="center" vertical="center"/>
    </xf>
    <xf numFmtId="49" fontId="59" fillId="9" borderId="284" applyAlignment="1" pivotButton="0" quotePrefix="0" xfId="0">
      <alignment horizontal="left" vertical="center"/>
    </xf>
    <xf numFmtId="3" fontId="60" fillId="7" borderId="290" applyAlignment="1" pivotButton="0" quotePrefix="0" xfId="0">
      <alignment horizontal="right" vertical="center"/>
    </xf>
    <xf numFmtId="3" fontId="47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 vertical="center"/>
    </xf>
    <xf numFmtId="3" fontId="60" fillId="9" borderId="284" applyAlignment="1" pivotButton="0" quotePrefix="0" xfId="0">
      <alignment horizontal="right" vertical="center"/>
    </xf>
    <xf numFmtId="3" fontId="47" fillId="0" borderId="0" pivotButton="0" quotePrefix="0" xfId="0"/>
    <xf numFmtId="3" fontId="6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49" fontId="65" fillId="33" borderId="68" applyAlignment="1" pivotButton="0" quotePrefix="0" xfId="0">
      <alignment horizontal="center" vertical="center"/>
    </xf>
    <xf numFmtId="49" fontId="66" fillId="3" borderId="68" applyAlignment="1" pivotButton="0" quotePrefix="0" xfId="0">
      <alignment horizontal="center" vertical="center"/>
    </xf>
    <xf numFmtId="49" fontId="67" fillId="9" borderId="68" applyAlignment="1" pivotButton="0" quotePrefix="0" xfId="0">
      <alignment horizontal="center" vertical="center"/>
    </xf>
    <xf numFmtId="49" fontId="67" fillId="9" borderId="68" applyAlignment="1" pivotButton="0" quotePrefix="0" xfId="0">
      <alignment horizontal="left" vertical="center"/>
    </xf>
    <xf numFmtId="1" fontId="67" fillId="9" borderId="68" applyAlignment="1" pivotButton="0" quotePrefix="0" xfId="0">
      <alignment horizontal="center" vertical="center"/>
    </xf>
    <xf numFmtId="1" fontId="67" fillId="9" borderId="68" applyAlignment="1" pivotButton="0" quotePrefix="0" xfId="0">
      <alignment horizontal="right" vertical="center"/>
    </xf>
    <xf numFmtId="167" fontId="67" fillId="9" borderId="68" applyAlignment="1" pivotButton="0" quotePrefix="0" xfId="0">
      <alignment horizontal="right" vertical="center"/>
    </xf>
    <xf numFmtId="0" fontId="68" fillId="33" borderId="68" applyAlignment="1" pivotButton="0" quotePrefix="0" xfId="0">
      <alignment horizontal="center" vertical="center"/>
    </xf>
    <xf numFmtId="1" fontId="68" fillId="33" borderId="68" applyAlignment="1" pivotButton="0" quotePrefix="0" xfId="0">
      <alignment horizontal="center" vertical="center"/>
    </xf>
    <xf numFmtId="1" fontId="68" fillId="33" borderId="68" applyAlignment="1" pivotButton="0" quotePrefix="0" xfId="0">
      <alignment horizontal="right" vertical="center"/>
    </xf>
    <xf numFmtId="49" fontId="67" fillId="9" borderId="308" applyAlignment="1" pivotButton="0" quotePrefix="0" xfId="0">
      <alignment horizontal="center" vertical="center"/>
    </xf>
    <xf numFmtId="49" fontId="67" fillId="9" borderId="308" applyAlignment="1" pivotButton="0" quotePrefix="0" xfId="0">
      <alignment horizontal="left" vertical="center"/>
    </xf>
    <xf numFmtId="1" fontId="67" fillId="9" borderId="308" applyAlignment="1" pivotButton="0" quotePrefix="0" xfId="0">
      <alignment horizontal="center" vertical="center"/>
    </xf>
    <xf numFmtId="1" fontId="67" fillId="9" borderId="308" applyAlignment="1" pivotButton="0" quotePrefix="0" xfId="0">
      <alignment horizontal="right" vertical="center"/>
    </xf>
    <xf numFmtId="167" fontId="67" fillId="9" borderId="308" applyAlignment="1" pivotButton="0" quotePrefix="0" xfId="0">
      <alignment horizontal="right" vertical="center"/>
    </xf>
    <xf numFmtId="49" fontId="67" fillId="9" borderId="295" applyAlignment="1" pivotButton="0" quotePrefix="0" xfId="0">
      <alignment horizontal="center" vertical="center"/>
    </xf>
    <xf numFmtId="49" fontId="67" fillId="9" borderId="295" applyAlignment="1" pivotButton="0" quotePrefix="0" xfId="0">
      <alignment horizontal="left" vertical="center"/>
    </xf>
    <xf numFmtId="1" fontId="67" fillId="9" borderId="295" applyAlignment="1" pivotButton="0" quotePrefix="0" xfId="0">
      <alignment horizontal="center" vertical="center"/>
    </xf>
    <xf numFmtId="1" fontId="67" fillId="9" borderId="295" applyAlignment="1" pivotButton="0" quotePrefix="0" xfId="0">
      <alignment horizontal="right" vertical="center"/>
    </xf>
    <xf numFmtId="167" fontId="67" fillId="9" borderId="295" applyAlignment="1" pivotButton="0" quotePrefix="0" xfId="0">
      <alignment horizontal="right" vertical="center"/>
    </xf>
    <xf numFmtId="49" fontId="67" fillId="9" borderId="291" applyAlignment="1" pivotButton="0" quotePrefix="0" xfId="0">
      <alignment horizontal="center" vertical="center"/>
    </xf>
    <xf numFmtId="49" fontId="67" fillId="9" borderId="291" applyAlignment="1" pivotButton="0" quotePrefix="0" xfId="0">
      <alignment horizontal="left" vertical="center"/>
    </xf>
    <xf numFmtId="1" fontId="67" fillId="9" borderId="291" applyAlignment="1" pivotButton="0" quotePrefix="0" xfId="0">
      <alignment horizontal="center" vertical="center"/>
    </xf>
    <xf numFmtId="1" fontId="67" fillId="9" borderId="291" applyAlignment="1" pivotButton="0" quotePrefix="0" xfId="0">
      <alignment horizontal="right" vertical="center"/>
    </xf>
    <xf numFmtId="167" fontId="67" fillId="9" borderId="291" applyAlignment="1" pivotButton="0" quotePrefix="0" xfId="0">
      <alignment horizontal="right" vertical="center"/>
    </xf>
    <xf numFmtId="49" fontId="67" fillId="9" borderId="309" applyAlignment="1" pivotButton="0" quotePrefix="0" xfId="0">
      <alignment horizontal="center" vertical="center"/>
    </xf>
    <xf numFmtId="49" fontId="67" fillId="9" borderId="310" applyAlignment="1" pivotButton="0" quotePrefix="0" xfId="0">
      <alignment horizontal="center" vertical="center"/>
    </xf>
    <xf numFmtId="49" fontId="67" fillId="9" borderId="310" applyAlignment="1" pivotButton="0" quotePrefix="0" xfId="0">
      <alignment horizontal="left" vertical="center"/>
    </xf>
    <xf numFmtId="1" fontId="67" fillId="9" borderId="310" applyAlignment="1" pivotButton="0" quotePrefix="0" xfId="0">
      <alignment horizontal="center" vertical="center"/>
    </xf>
    <xf numFmtId="1" fontId="67" fillId="9" borderId="310" applyAlignment="1" pivotButton="0" quotePrefix="0" xfId="0">
      <alignment horizontal="right" vertical="center"/>
    </xf>
    <xf numFmtId="167" fontId="67" fillId="9" borderId="310" applyAlignment="1" pivotButton="0" quotePrefix="0" xfId="0">
      <alignment horizontal="right" vertical="center"/>
    </xf>
    <xf numFmtId="49" fontId="67" fillId="9" borderId="312" applyAlignment="1" pivotButton="0" quotePrefix="0" xfId="0">
      <alignment horizontal="center" vertical="center"/>
    </xf>
    <xf numFmtId="49" fontId="67" fillId="9" borderId="314" applyAlignment="1" pivotButton="0" quotePrefix="0" xfId="0">
      <alignment horizontal="center" vertical="center"/>
    </xf>
    <xf numFmtId="49" fontId="67" fillId="9" borderId="316" applyAlignment="1" pivotButton="0" quotePrefix="0" xfId="0">
      <alignment horizontal="center" vertical="center"/>
    </xf>
    <xf numFmtId="49" fontId="67" fillId="9" borderId="317" applyAlignment="1" pivotButton="0" quotePrefix="0" xfId="0">
      <alignment horizontal="center" vertical="center"/>
    </xf>
    <xf numFmtId="49" fontId="67" fillId="9" borderId="317" applyAlignment="1" pivotButton="0" quotePrefix="0" xfId="0">
      <alignment horizontal="left" vertical="center"/>
    </xf>
    <xf numFmtId="1" fontId="67" fillId="9" borderId="317" applyAlignment="1" pivotButton="0" quotePrefix="0" xfId="0">
      <alignment horizontal="center" vertical="center"/>
    </xf>
    <xf numFmtId="1" fontId="67" fillId="9" borderId="317" applyAlignment="1" pivotButton="0" quotePrefix="0" xfId="0">
      <alignment horizontal="right" vertical="center"/>
    </xf>
    <xf numFmtId="167" fontId="67" fillId="9" borderId="317" applyAlignment="1" pivotButton="0" quotePrefix="0" xfId="0">
      <alignment horizontal="right" vertical="center"/>
    </xf>
    <xf numFmtId="167" fontId="40" fillId="9" borderId="313" applyAlignment="1" pivotButton="0" quotePrefix="0" xfId="0">
      <alignment vertical="center"/>
    </xf>
    <xf numFmtId="49" fontId="67" fillId="9" borderId="318" applyAlignment="1" pivotButton="0" quotePrefix="0" xfId="0">
      <alignment horizontal="center" vertical="center"/>
    </xf>
    <xf numFmtId="0" fontId="68" fillId="33" borderId="295" applyAlignment="1" pivotButton="0" quotePrefix="0" xfId="0">
      <alignment horizontal="center" vertical="center"/>
    </xf>
    <xf numFmtId="1" fontId="68" fillId="33" borderId="295" applyAlignment="1" pivotButton="0" quotePrefix="0" xfId="0">
      <alignment horizontal="center" vertical="center"/>
    </xf>
    <xf numFmtId="1" fontId="68" fillId="33" borderId="295" applyAlignment="1" pivotButton="0" quotePrefix="0" xfId="0">
      <alignment horizontal="right" vertical="center"/>
    </xf>
    <xf numFmtId="49" fontId="68" fillId="32" borderId="291" applyAlignment="1" pivotButton="0" quotePrefix="0" xfId="0">
      <alignment horizontal="center" vertical="center"/>
    </xf>
    <xf numFmtId="49" fontId="68" fillId="32" borderId="68" applyAlignment="1" pivotButton="0" quotePrefix="0" xfId="0">
      <alignment horizontal="center" vertical="center"/>
    </xf>
    <xf numFmtId="49" fontId="68" fillId="32" borderId="295" applyAlignment="1" pivotButton="0" quotePrefix="0" xfId="0">
      <alignment horizontal="center" vertical="center"/>
    </xf>
    <xf numFmtId="49" fontId="67" fillId="0" borderId="68" applyAlignment="1" pivotButton="0" quotePrefix="0" xfId="0">
      <alignment horizontal="center" vertical="center"/>
    </xf>
    <xf numFmtId="167" fontId="67" fillId="0" borderId="68" applyAlignment="1" pivotButton="0" quotePrefix="0" xfId="0">
      <alignment horizontal="right" vertical="center"/>
    </xf>
    <xf numFmtId="167" fontId="68" fillId="32" borderId="68" applyAlignment="1" pivotButton="0" quotePrefix="0" xfId="0">
      <alignment horizontal="right" vertical="center"/>
    </xf>
    <xf numFmtId="0" fontId="55" fillId="0" borderId="319" applyAlignment="1" pivotButton="0" quotePrefix="0" xfId="0">
      <alignment vertical="center"/>
    </xf>
    <xf numFmtId="164" fontId="55" fillId="0" borderId="319" applyAlignment="1" pivotButton="0" quotePrefix="0" xfId="0">
      <alignment horizontal="left" vertical="center"/>
    </xf>
    <xf numFmtId="0" fontId="69" fillId="0" borderId="319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80" fontId="70" fillId="11" borderId="24" applyAlignment="1" pivotButton="0" quotePrefix="0" xfId="7">
      <alignment horizontal="center" vertical="center" wrapText="1"/>
    </xf>
    <xf numFmtId="180" fontId="55" fillId="34" borderId="24" applyAlignment="1" pivotButton="0" quotePrefix="0" xfId="7">
      <alignment horizontal="center" vertical="center" wrapText="1"/>
    </xf>
    <xf numFmtId="180" fontId="70" fillId="11" borderId="24" applyAlignment="1" pivotButton="0" quotePrefix="0" xfId="7">
      <alignment horizontal="center" vertical="center"/>
    </xf>
    <xf numFmtId="180" fontId="70" fillId="35" borderId="24" applyAlignment="1" pivotButton="0" quotePrefix="0" xfId="7">
      <alignment horizontal="center" vertical="center" wrapText="1"/>
    </xf>
    <xf numFmtId="180" fontId="55" fillId="7" borderId="24" applyAlignment="1" pivotButton="0" quotePrefix="0" xfId="7">
      <alignment horizontal="center" vertical="center" wrapText="1"/>
    </xf>
    <xf numFmtId="0" fontId="71" fillId="2" borderId="24" applyAlignment="1" pivotButton="0" quotePrefix="0" xfId="7">
      <alignment horizontal="center" vertical="center"/>
    </xf>
    <xf numFmtId="9" fontId="71" fillId="2" borderId="24" applyAlignment="1" pivotButton="0" quotePrefix="0" xfId="7">
      <alignment horizontal="left" vertical="center"/>
    </xf>
    <xf numFmtId="173" fontId="71" fillId="2" borderId="24" applyAlignment="1" pivotButton="0" quotePrefix="0" xfId="7">
      <alignment horizontal="center" vertical="center"/>
    </xf>
    <xf numFmtId="173" fontId="71" fillId="12" borderId="24" applyAlignment="1" pivotButton="0" quotePrefix="0" xfId="7">
      <alignment horizontal="center" vertical="center"/>
    </xf>
    <xf numFmtId="173" fontId="71" fillId="7" borderId="24" applyAlignment="1" pivotButton="0" quotePrefix="0" xfId="7">
      <alignment horizontal="center" vertical="center"/>
    </xf>
    <xf numFmtId="173" fontId="71" fillId="5" borderId="24" applyAlignment="1" pivotButton="0" quotePrefix="0" xfId="7">
      <alignment horizontal="center" vertical="center"/>
    </xf>
    <xf numFmtId="173" fontId="71" fillId="36" borderId="24" applyAlignment="1" pivotButton="0" quotePrefix="0" xfId="7">
      <alignment horizontal="center" vertical="center"/>
    </xf>
    <xf numFmtId="173" fontId="72" fillId="5" borderId="24" applyAlignment="1" pivotButton="0" quotePrefix="0" xfId="0">
      <alignment horizontal="center" vertical="center"/>
    </xf>
    <xf numFmtId="173" fontId="71" fillId="0" borderId="24" applyAlignment="1" pivotButton="0" quotePrefix="0" xfId="7">
      <alignment horizontal="center" vertical="center" wrapText="1"/>
    </xf>
    <xf numFmtId="9" fontId="73" fillId="2" borderId="24" applyAlignment="1" pivotButton="0" quotePrefix="0" xfId="7">
      <alignment horizontal="left" vertical="center"/>
    </xf>
    <xf numFmtId="173" fontId="71" fillId="8" borderId="24" applyAlignment="1" pivotButton="0" quotePrefix="0" xfId="7">
      <alignment horizontal="center" vertical="center" wrapText="1"/>
    </xf>
    <xf numFmtId="173" fontId="70" fillId="35" borderId="24" applyAlignment="1" pivotButton="0" quotePrefix="0" xfId="7">
      <alignment horizontal="center" vertical="center"/>
    </xf>
    <xf numFmtId="0" fontId="0" fillId="35" borderId="24" applyAlignment="1" pivotButton="0" quotePrefix="0" xfId="0">
      <alignment horizontal="center"/>
    </xf>
    <xf numFmtId="173" fontId="71" fillId="2" borderId="0" applyAlignment="1" pivotButton="0" quotePrefix="0" xfId="7">
      <alignment horizontal="center" vertical="center"/>
    </xf>
    <xf numFmtId="0" fontId="74" fillId="2" borderId="0" applyAlignment="1" pivotButton="0" quotePrefix="0" xfId="8">
      <alignment vertical="center"/>
    </xf>
    <xf numFmtId="0" fontId="75" fillId="2" borderId="0" applyAlignment="1" pivotButton="0" quotePrefix="0" xfId="8">
      <alignment vertical="center"/>
    </xf>
    <xf numFmtId="0" fontId="76" fillId="2" borderId="0" applyAlignment="1" pivotButton="0" quotePrefix="0" xfId="8">
      <alignment horizontal="center" vertical="center"/>
    </xf>
    <xf numFmtId="0" fontId="76" fillId="2" borderId="0" applyAlignment="1" pivotButton="0" quotePrefix="0" xfId="8">
      <alignment horizontal="center"/>
    </xf>
    <xf numFmtId="0" fontId="50" fillId="0" borderId="0" applyAlignment="1" pivotButton="0" quotePrefix="0" xfId="8">
      <alignment horizontal="left"/>
    </xf>
    <xf numFmtId="0" fontId="50" fillId="0" borderId="0" pivotButton="0" quotePrefix="0" xfId="8"/>
    <xf numFmtId="0" fontId="56" fillId="0" borderId="0" applyAlignment="1" pivotButton="0" quotePrefix="0" xfId="8">
      <alignment horizontal="center"/>
    </xf>
    <xf numFmtId="170" fontId="44" fillId="15" borderId="116" applyAlignment="1" pivotButton="0" quotePrefix="0" xfId="9">
      <alignment horizontal="center" vertical="center"/>
    </xf>
    <xf numFmtId="170" fontId="44" fillId="10" borderId="116" applyAlignment="1" pivotButton="0" quotePrefix="0" xfId="9">
      <alignment horizontal="center" vertical="center"/>
    </xf>
    <xf numFmtId="170" fontId="44" fillId="14" borderId="116" applyAlignment="1" pivotButton="0" quotePrefix="0" xfId="9">
      <alignment horizontal="center" vertical="center"/>
    </xf>
    <xf numFmtId="0" fontId="44" fillId="15" borderId="116" applyAlignment="1" pivotButton="0" quotePrefix="0" xfId="9">
      <alignment horizontal="center" vertical="center"/>
    </xf>
    <xf numFmtId="170" fontId="44" fillId="7" borderId="116" applyAlignment="1" pivotButton="0" quotePrefix="0" xfId="9">
      <alignment horizontal="center" vertical="center"/>
    </xf>
    <xf numFmtId="0" fontId="44" fillId="7" borderId="116" applyAlignment="1" pivotButton="0" quotePrefix="0" xfId="9">
      <alignment horizontal="center" vertical="center"/>
    </xf>
    <xf numFmtId="170" fontId="44" fillId="8" borderId="116" applyAlignment="1" pivotButton="0" quotePrefix="0" xfId="9">
      <alignment horizontal="center" vertical="center"/>
    </xf>
    <xf numFmtId="0" fontId="44" fillId="8" borderId="118" applyAlignment="1" pivotButton="0" quotePrefix="0" xfId="9">
      <alignment horizontal="center" vertical="center"/>
    </xf>
    <xf numFmtId="0" fontId="27" fillId="2" borderId="0" applyAlignment="1" pivotButton="0" quotePrefix="0" xfId="8">
      <alignment horizontal="center" vertical="center"/>
    </xf>
    <xf numFmtId="0" fontId="78" fillId="10" borderId="322" applyAlignment="1" pivotButton="0" quotePrefix="0" xfId="8">
      <alignment horizontal="left" vertical="center"/>
    </xf>
    <xf numFmtId="170" fontId="51" fillId="0" borderId="199" applyAlignment="1" pivotButton="0" quotePrefix="0" xfId="9">
      <alignment horizontal="left" vertical="center"/>
    </xf>
    <xf numFmtId="166" fontId="51" fillId="0" borderId="220" applyAlignment="1" pivotButton="0" quotePrefix="0" xfId="9">
      <alignment horizontal="center" vertical="center"/>
    </xf>
    <xf numFmtId="170" fontId="51" fillId="2" borderId="193" applyAlignment="1" pivotButton="0" quotePrefix="0" xfId="9">
      <alignment horizontal="center" vertical="center"/>
    </xf>
    <xf numFmtId="170" fontId="51" fillId="2" borderId="193" applyAlignment="1" pivotButton="0" quotePrefix="0" xfId="9">
      <alignment vertical="center"/>
    </xf>
    <xf numFmtId="170" fontId="51" fillId="0" borderId="193" applyAlignment="1" pivotButton="0" quotePrefix="0" xfId="9">
      <alignment horizontal="center" vertical="center"/>
    </xf>
    <xf numFmtId="170" fontId="51" fillId="0" borderId="250" applyAlignment="1" pivotButton="0" quotePrefix="0" xfId="9">
      <alignment horizontal="center" vertical="center"/>
    </xf>
    <xf numFmtId="170" fontId="51" fillId="0" borderId="323" applyAlignment="1" pivotButton="0" quotePrefix="0" xfId="9">
      <alignment horizontal="center" vertical="center"/>
    </xf>
    <xf numFmtId="166" fontId="51" fillId="0" borderId="200" applyAlignment="1" pivotButton="0" quotePrefix="0" xfId="9">
      <alignment horizontal="center" vertical="center"/>
    </xf>
    <xf numFmtId="170" fontId="51" fillId="2" borderId="241" applyAlignment="1" pivotButton="0" quotePrefix="0" xfId="9">
      <alignment horizontal="center" vertical="center"/>
    </xf>
    <xf numFmtId="170" fontId="51" fillId="2" borderId="199" applyAlignment="1" pivotButton="0" quotePrefix="0" xfId="9">
      <alignment vertical="center"/>
    </xf>
    <xf numFmtId="170" fontId="51" fillId="0" borderId="199" applyAlignment="1" pivotButton="0" quotePrefix="0" xfId="9">
      <alignment horizontal="center" vertical="center"/>
    </xf>
    <xf numFmtId="170" fontId="51" fillId="0" borderId="206" applyAlignment="1" pivotButton="0" quotePrefix="0" xfId="9">
      <alignment horizontal="center" vertical="center"/>
    </xf>
    <xf numFmtId="166" fontId="51" fillId="0" borderId="206" applyAlignment="1" pivotButton="0" quotePrefix="0" xfId="9">
      <alignment horizontal="center" vertical="center"/>
    </xf>
    <xf numFmtId="170" fontId="51" fillId="2" borderId="199" applyAlignment="1" pivotButton="0" quotePrefix="0" xfId="9">
      <alignment horizontal="center" vertical="center"/>
    </xf>
    <xf numFmtId="170" fontId="51" fillId="0" borderId="241" applyAlignment="1" pivotButton="0" quotePrefix="0" xfId="9">
      <alignment horizontal="center" vertical="center"/>
    </xf>
    <xf numFmtId="0" fontId="30" fillId="25" borderId="324" applyAlignment="1" pivotButton="0" quotePrefix="0" xfId="8">
      <alignment horizontal="left" vertical="center"/>
    </xf>
    <xf numFmtId="170" fontId="51" fillId="0" borderId="241" applyAlignment="1" pivotButton="0" quotePrefix="0" xfId="9">
      <alignment horizontal="left" vertical="center"/>
    </xf>
    <xf numFmtId="0" fontId="30" fillId="25" borderId="326" applyAlignment="1" pivotButton="0" quotePrefix="0" xfId="8">
      <alignment horizontal="left" vertical="center"/>
    </xf>
    <xf numFmtId="170" fontId="51" fillId="0" borderId="213" applyAlignment="1" pivotButton="0" quotePrefix="0" xfId="9">
      <alignment horizontal="left" vertical="center"/>
    </xf>
    <xf numFmtId="166" fontId="51" fillId="0" borderId="214" applyAlignment="1" pivotButton="0" quotePrefix="0" xfId="9">
      <alignment horizontal="center" vertical="center"/>
    </xf>
    <xf numFmtId="170" fontId="51" fillId="2" borderId="213" applyAlignment="1" pivotButton="0" quotePrefix="0" xfId="9">
      <alignment horizontal="center" vertical="center"/>
    </xf>
    <xf numFmtId="170" fontId="51" fillId="2" borderId="213" applyAlignment="1" pivotButton="0" quotePrefix="0" xfId="9">
      <alignment vertical="center"/>
    </xf>
    <xf numFmtId="170" fontId="51" fillId="0" borderId="213" applyAlignment="1" pivotButton="0" quotePrefix="0" xfId="9">
      <alignment horizontal="center" vertical="center"/>
    </xf>
    <xf numFmtId="170" fontId="51" fillId="0" borderId="244" applyAlignment="1" pivotButton="0" quotePrefix="0" xfId="9">
      <alignment horizontal="center" vertical="center"/>
    </xf>
    <xf numFmtId="170" fontId="51" fillId="0" borderId="327" applyAlignment="1" pivotButton="0" quotePrefix="0" xfId="9">
      <alignment horizontal="center" vertical="center"/>
    </xf>
    <xf numFmtId="0" fontId="30" fillId="10" borderId="324" applyAlignment="1" pivotButton="0" quotePrefix="0" xfId="8">
      <alignment horizontal="left" vertical="center"/>
    </xf>
    <xf numFmtId="170" fontId="51" fillId="2" borderId="248" applyAlignment="1" pivotButton="0" quotePrefix="0" xfId="9">
      <alignment horizontal="center" vertical="center"/>
    </xf>
    <xf numFmtId="170" fontId="51" fillId="2" borderId="189" applyAlignment="1" pivotButton="0" quotePrefix="0" xfId="9">
      <alignment vertical="center"/>
    </xf>
    <xf numFmtId="170" fontId="51" fillId="0" borderId="189" applyAlignment="1" pivotButton="0" quotePrefix="0" xfId="9">
      <alignment horizontal="center" vertical="center"/>
    </xf>
    <xf numFmtId="170" fontId="51" fillId="0" borderId="235" applyAlignment="1" pivotButton="0" quotePrefix="0" xfId="9">
      <alignment horizontal="center" vertical="center"/>
    </xf>
    <xf numFmtId="170" fontId="51" fillId="0" borderId="328" applyAlignment="1" pivotButton="0" quotePrefix="0" xfId="9">
      <alignment horizontal="center" vertical="center"/>
    </xf>
    <xf numFmtId="170" fontId="51" fillId="0" borderId="329" applyAlignment="1" pivotButton="0" quotePrefix="0" xfId="9">
      <alignment horizontal="center" vertical="center"/>
    </xf>
    <xf numFmtId="0" fontId="30" fillId="10" borderId="250" applyAlignment="1" pivotButton="0" quotePrefix="0" xfId="8">
      <alignment horizontal="left" vertical="center"/>
    </xf>
    <xf numFmtId="170" fontId="51" fillId="2" borderId="250" applyAlignment="1" pivotButton="0" quotePrefix="0" xfId="9">
      <alignment horizontal="center" vertical="center"/>
    </xf>
    <xf numFmtId="170" fontId="51" fillId="0" borderId="220" applyAlignment="1" pivotButton="0" quotePrefix="0" xfId="9">
      <alignment horizontal="center" vertical="center"/>
    </xf>
    <xf numFmtId="0" fontId="30" fillId="10" borderId="326" applyAlignment="1" pivotButton="0" quotePrefix="0" xfId="8">
      <alignment horizontal="left" vertical="center"/>
    </xf>
    <xf numFmtId="170" fontId="51" fillId="0" borderId="211" applyAlignment="1" pivotButton="0" quotePrefix="0" xfId="9">
      <alignment horizontal="left" vertical="center"/>
    </xf>
    <xf numFmtId="166" fontId="51" fillId="0" borderId="227" applyAlignment="1" pivotButton="0" quotePrefix="0" xfId="9">
      <alignment horizontal="center" vertical="center"/>
    </xf>
    <xf numFmtId="170" fontId="51" fillId="2" borderId="244" applyAlignment="1" pivotButton="0" quotePrefix="0" xfId="9">
      <alignment horizontal="center" vertical="center"/>
    </xf>
    <xf numFmtId="170" fontId="51" fillId="0" borderId="227" applyAlignment="1" pivotButton="0" quotePrefix="0" xfId="9">
      <alignment horizontal="center" vertical="center"/>
    </xf>
    <xf numFmtId="170" fontId="51" fillId="0" borderId="211" applyAlignment="1" pivotButton="0" quotePrefix="0" xfId="9">
      <alignment horizontal="center" vertical="center"/>
    </xf>
    <xf numFmtId="0" fontId="78" fillId="10" borderId="324" applyAlignment="1" pivotButton="0" quotePrefix="0" xfId="8">
      <alignment horizontal="left" vertical="center"/>
    </xf>
    <xf numFmtId="170" fontId="51" fillId="0" borderId="193" applyAlignment="1" pivotButton="0" quotePrefix="0" xfId="9">
      <alignment horizontal="left" vertical="center"/>
    </xf>
    <xf numFmtId="0" fontId="30" fillId="10" borderId="322" applyAlignment="1" pivotButton="0" quotePrefix="0" xfId="8">
      <alignment horizontal="left" vertical="center"/>
    </xf>
    <xf numFmtId="170" fontId="51" fillId="0" borderId="215" applyAlignment="1" pivotButton="0" quotePrefix="0" xfId="9">
      <alignment horizontal="left" vertical="center"/>
    </xf>
    <xf numFmtId="166" fontId="51" fillId="0" borderId="193" applyAlignment="1" pivotButton="0" quotePrefix="0" xfId="9">
      <alignment horizontal="center" vertical="center"/>
    </xf>
    <xf numFmtId="166" fontId="51" fillId="0" borderId="199" applyAlignment="1" pivotButton="0" quotePrefix="0" xfId="9">
      <alignment horizontal="center" vertical="center"/>
    </xf>
    <xf numFmtId="0" fontId="30" fillId="10" borderId="330" applyAlignment="1" pivotButton="0" quotePrefix="0" xfId="8">
      <alignment horizontal="left" vertical="center"/>
    </xf>
    <xf numFmtId="170" fontId="51" fillId="2" borderId="198" applyAlignment="1" pivotButton="0" quotePrefix="0" xfId="9">
      <alignment horizontal="center" vertical="center"/>
    </xf>
    <xf numFmtId="170" fontId="51" fillId="2" borderId="198" applyAlignment="1" pivotButton="0" quotePrefix="0" xfId="9">
      <alignment vertical="center"/>
    </xf>
    <xf numFmtId="170" fontId="51" fillId="0" borderId="198" applyAlignment="1" pivotButton="0" quotePrefix="0" xfId="9">
      <alignment horizontal="center" vertical="center"/>
    </xf>
    <xf numFmtId="170" fontId="51" fillId="0" borderId="243" applyAlignment="1" pivotButton="0" quotePrefix="0" xfId="9">
      <alignment horizontal="center" vertical="center"/>
    </xf>
    <xf numFmtId="170" fontId="51" fillId="0" borderId="331" applyAlignment="1" pivotButton="0" quotePrefix="0" xfId="9">
      <alignment horizontal="center" vertical="center"/>
    </xf>
    <xf numFmtId="170" fontId="51" fillId="0" borderId="198" applyAlignment="1" pivotButton="0" quotePrefix="0" xfId="9">
      <alignment horizontal="left" vertical="center"/>
    </xf>
    <xf numFmtId="0" fontId="30" fillId="25" borderId="333" applyAlignment="1" pivotButton="0" quotePrefix="0" xfId="8">
      <alignment horizontal="left" vertical="center"/>
    </xf>
    <xf numFmtId="170" fontId="51" fillId="0" borderId="250" applyAlignment="1" pivotButton="0" quotePrefix="0" xfId="9">
      <alignment horizontal="left" vertical="center"/>
    </xf>
    <xf numFmtId="170" fontId="51" fillId="0" borderId="189" applyAlignment="1" pivotButton="0" quotePrefix="0" xfId="9">
      <alignment horizontal="left" vertical="center"/>
    </xf>
    <xf numFmtId="166" fontId="51" fillId="0" borderId="189" applyAlignment="1" pivotButton="0" quotePrefix="0" xfId="9">
      <alignment horizontal="center" vertical="center"/>
    </xf>
    <xf numFmtId="170" fontId="51" fillId="2" borderId="189" applyAlignment="1" pivotButton="0" quotePrefix="0" xfId="9">
      <alignment horizontal="center" vertical="center"/>
    </xf>
    <xf numFmtId="170" fontId="51" fillId="0" borderId="248" applyAlignment="1" pivotButton="0" quotePrefix="0" xfId="9">
      <alignment horizontal="center" vertical="center"/>
    </xf>
    <xf numFmtId="0" fontId="30" fillId="25" borderId="322" applyAlignment="1" pivotButton="0" quotePrefix="0" xfId="8">
      <alignment horizontal="left" vertical="center"/>
    </xf>
    <xf numFmtId="170" fontId="51" fillId="0" borderId="244" applyAlignment="1" pivotButton="0" quotePrefix="0" xfId="9">
      <alignment horizontal="left" vertical="center"/>
    </xf>
    <xf numFmtId="170" fontId="51" fillId="0" borderId="199" applyAlignment="1" pivotButton="0" quotePrefix="0" xfId="9">
      <alignment vertical="center"/>
    </xf>
    <xf numFmtId="170" fontId="51" fillId="0" borderId="334" applyAlignment="1" pivotButton="0" quotePrefix="0" xfId="9">
      <alignment horizontal="center" vertical="center"/>
    </xf>
    <xf numFmtId="0" fontId="30" fillId="2" borderId="250" applyAlignment="1" pivotButton="0" quotePrefix="0" xfId="8">
      <alignment horizontal="left" vertical="center"/>
    </xf>
    <xf numFmtId="166" fontId="51" fillId="2" borderId="220" applyAlignment="1" pivotButton="0" quotePrefix="0" xfId="9">
      <alignment horizontal="center" vertical="center"/>
    </xf>
    <xf numFmtId="166" fontId="51" fillId="0" borderId="194" applyAlignment="1" pivotButton="0" quotePrefix="0" xfId="9">
      <alignment horizontal="center" vertical="center"/>
    </xf>
    <xf numFmtId="0" fontId="30" fillId="2" borderId="244" applyAlignment="1" pivotButton="0" quotePrefix="0" xfId="8">
      <alignment horizontal="left" vertical="center"/>
    </xf>
    <xf numFmtId="166" fontId="51" fillId="2" borderId="227" applyAlignment="1" pivotButton="0" quotePrefix="0" xfId="9">
      <alignment horizontal="center" vertical="center"/>
    </xf>
    <xf numFmtId="0" fontId="30" fillId="27" borderId="333" applyAlignment="1" pivotButton="0" quotePrefix="0" xfId="8">
      <alignment horizontal="left" vertical="center"/>
    </xf>
    <xf numFmtId="166" fontId="51" fillId="0" borderId="190" applyAlignment="1" pivotButton="0" quotePrefix="0" xfId="9">
      <alignment horizontal="center" vertical="center"/>
    </xf>
    <xf numFmtId="0" fontId="30" fillId="27" borderId="322" applyAlignment="1" pivotButton="0" quotePrefix="0" xfId="8">
      <alignment horizontal="left" vertical="center"/>
    </xf>
    <xf numFmtId="0" fontId="30" fillId="27" borderId="250" applyAlignment="1" pivotButton="0" quotePrefix="0" xfId="8">
      <alignment horizontal="left" vertical="center"/>
    </xf>
    <xf numFmtId="0" fontId="30" fillId="27" borderId="326" applyAlignment="1" pivotButton="0" quotePrefix="0" xfId="8">
      <alignment horizontal="left" vertical="center"/>
    </xf>
    <xf numFmtId="0" fontId="78" fillId="10" borderId="333" applyAlignment="1" pivotButton="0" quotePrefix="0" xfId="8">
      <alignment horizontal="left" vertical="center"/>
    </xf>
    <xf numFmtId="170" fontId="51" fillId="0" borderId="184" applyAlignment="1" pivotButton="0" quotePrefix="0" xfId="9">
      <alignment horizontal="left" vertical="center"/>
    </xf>
    <xf numFmtId="166" fontId="51" fillId="0" borderId="235" applyAlignment="1" pivotButton="0" quotePrefix="0" xfId="9">
      <alignment horizontal="center" vertical="center"/>
    </xf>
    <xf numFmtId="0" fontId="30" fillId="26" borderId="324" applyAlignment="1" pivotButton="0" quotePrefix="0" xfId="8">
      <alignment horizontal="left" vertical="center"/>
    </xf>
    <xf numFmtId="170" fontId="51" fillId="2" borderId="339" applyAlignment="1" pivotButton="0" quotePrefix="0" xfId="9">
      <alignment horizontal="center" vertical="center"/>
    </xf>
    <xf numFmtId="170" fontId="51" fillId="2" borderId="211" applyAlignment="1" pivotButton="0" quotePrefix="0" xfId="9">
      <alignment vertical="center"/>
    </xf>
    <xf numFmtId="170" fontId="51" fillId="0" borderId="339" applyAlignment="1" pivotButton="0" quotePrefix="0" xfId="9">
      <alignment horizontal="center" vertical="center"/>
    </xf>
    <xf numFmtId="170" fontId="51" fillId="2" borderId="340" applyAlignment="1" pivotButton="0" quotePrefix="0" xfId="9">
      <alignment horizontal="center" vertical="center"/>
    </xf>
    <xf numFmtId="170" fontId="51" fillId="2" borderId="184" applyAlignment="1" pivotButton="0" quotePrefix="0" xfId="9">
      <alignment vertical="center"/>
    </xf>
    <xf numFmtId="170" fontId="51" fillId="0" borderId="184" applyAlignment="1" pivotButton="0" quotePrefix="0" xfId="9">
      <alignment horizontal="center" vertical="center"/>
    </xf>
    <xf numFmtId="170" fontId="51" fillId="0" borderId="185" applyAlignment="1" pivotButton="0" quotePrefix="0" xfId="9">
      <alignment horizontal="center" vertical="center"/>
    </xf>
    <xf numFmtId="170" fontId="51" fillId="0" borderId="340" applyAlignment="1" pivotButton="0" quotePrefix="0" xfId="9">
      <alignment horizontal="center" vertical="center"/>
    </xf>
    <xf numFmtId="170" fontId="51" fillId="2" borderId="243" applyAlignment="1" pivotButton="0" quotePrefix="0" xfId="9">
      <alignment horizontal="center" vertical="center"/>
    </xf>
    <xf numFmtId="170" fontId="51" fillId="0" borderId="207" applyAlignment="1" pivotButton="0" quotePrefix="0" xfId="9">
      <alignment horizontal="center" vertical="center"/>
    </xf>
    <xf numFmtId="170" fontId="51" fillId="0" borderId="200" applyAlignment="1" pivotButton="0" quotePrefix="0" xfId="9">
      <alignment horizontal="center" vertical="center"/>
    </xf>
    <xf numFmtId="0" fontId="30" fillId="26" borderId="326" applyAlignment="1" pivotButton="0" quotePrefix="0" xfId="8">
      <alignment horizontal="left" vertical="center"/>
    </xf>
    <xf numFmtId="170" fontId="51" fillId="0" borderId="214" applyAlignment="1" pivotButton="0" quotePrefix="0" xfId="9">
      <alignment horizontal="center" vertical="center"/>
    </xf>
    <xf numFmtId="0" fontId="30" fillId="26" borderId="322" applyAlignment="1" pivotButton="0" quotePrefix="0" xfId="8">
      <alignment horizontal="left" vertical="center"/>
    </xf>
    <xf numFmtId="0" fontId="78" fillId="10" borderId="326" applyAlignment="1" pivotButton="0" quotePrefix="0" xfId="8">
      <alignment horizontal="left" vertical="center"/>
    </xf>
    <xf numFmtId="0" fontId="30" fillId="25" borderId="241" applyAlignment="1" pivotButton="0" quotePrefix="0" xfId="8">
      <alignment horizontal="left" vertical="center"/>
    </xf>
    <xf numFmtId="0" fontId="30" fillId="7" borderId="248" applyAlignment="1" pivotButton="0" quotePrefix="0" xfId="8">
      <alignment horizontal="left" vertical="center"/>
    </xf>
    <xf numFmtId="0" fontId="30" fillId="7" borderId="250" applyAlignment="1" pivotButton="0" quotePrefix="0" xfId="8">
      <alignment horizontal="left" vertical="center"/>
    </xf>
    <xf numFmtId="0" fontId="30" fillId="7" borderId="241" applyAlignment="1" pivotButton="0" quotePrefix="0" xfId="8">
      <alignment horizontal="left" vertical="center"/>
    </xf>
    <xf numFmtId="0" fontId="30" fillId="37" borderId="241" applyAlignment="1" pivotButton="0" quotePrefix="0" xfId="8">
      <alignment horizontal="left" vertical="center"/>
    </xf>
    <xf numFmtId="0" fontId="30" fillId="37" borderId="326" applyAlignment="1" pivotButton="0" quotePrefix="0" xfId="8">
      <alignment horizontal="left" vertical="center"/>
    </xf>
    <xf numFmtId="0" fontId="30" fillId="0" borderId="248" applyAlignment="1" pivotButton="0" quotePrefix="0" xfId="8">
      <alignment horizontal="left" vertical="center"/>
    </xf>
    <xf numFmtId="0" fontId="30" fillId="0" borderId="250" applyAlignment="1" pivotButton="0" quotePrefix="0" xfId="8">
      <alignment horizontal="left" vertical="center"/>
    </xf>
    <xf numFmtId="0" fontId="30" fillId="0" borderId="199" applyAlignment="1" pivotButton="0" quotePrefix="0" xfId="8">
      <alignment horizontal="left" vertical="center"/>
    </xf>
    <xf numFmtId="0" fontId="30" fillId="0" borderId="241" applyAlignment="1" pivotButton="0" quotePrefix="0" xfId="8">
      <alignment horizontal="left" vertical="center"/>
    </xf>
    <xf numFmtId="0" fontId="30" fillId="0" borderId="243" applyAlignment="1" pivotButton="0" quotePrefix="0" xfId="8">
      <alignment horizontal="left" vertical="center"/>
    </xf>
    <xf numFmtId="166" fontId="51" fillId="0" borderId="217" applyAlignment="1" pivotButton="0" quotePrefix="0" xfId="9">
      <alignment horizontal="center" vertical="center"/>
    </xf>
    <xf numFmtId="0" fontId="30" fillId="7" borderId="333" applyAlignment="1" pivotButton="0" quotePrefix="0" xfId="8">
      <alignment horizontal="left" vertical="center"/>
    </xf>
    <xf numFmtId="0" fontId="30" fillId="7" borderId="324" applyAlignment="1" pivotButton="0" quotePrefix="0" xfId="8">
      <alignment horizontal="left" vertical="center"/>
    </xf>
    <xf numFmtId="0" fontId="30" fillId="7" borderId="326" applyAlignment="1" pivotButton="0" quotePrefix="0" xfId="8">
      <alignment horizontal="left" vertical="center"/>
    </xf>
    <xf numFmtId="0" fontId="30" fillId="37" borderId="322" applyAlignment="1" pivotButton="0" quotePrefix="0" xfId="8">
      <alignment horizontal="left" vertical="center"/>
    </xf>
    <xf numFmtId="0" fontId="30" fillId="37" borderId="324" applyAlignment="1" pivotButton="0" quotePrefix="0" xfId="8">
      <alignment horizontal="left" vertical="center"/>
    </xf>
    <xf numFmtId="0" fontId="30" fillId="0" borderId="326" applyAlignment="1" pivotButton="0" quotePrefix="0" xfId="8">
      <alignment horizontal="left" vertical="center"/>
    </xf>
    <xf numFmtId="0" fontId="30" fillId="0" borderId="344" applyAlignment="1" pivotButton="0" quotePrefix="0" xfId="8">
      <alignment horizontal="left" vertical="center"/>
    </xf>
    <xf numFmtId="0" fontId="30" fillId="0" borderId="244" applyAlignment="1" pivotButton="0" quotePrefix="0" xfId="8">
      <alignment horizontal="left" vertical="center"/>
    </xf>
    <xf numFmtId="0" fontId="30" fillId="0" borderId="324" applyAlignment="1" pivotButton="0" quotePrefix="0" xfId="8">
      <alignment horizontal="left" vertical="center"/>
    </xf>
    <xf numFmtId="0" fontId="30" fillId="0" borderId="213" applyAlignment="1" pivotButton="0" quotePrefix="0" xfId="8">
      <alignment horizontal="left" vertical="center"/>
    </xf>
    <xf numFmtId="170" fontId="51" fillId="2" borderId="246" applyAlignment="1" pivotButton="0" quotePrefix="0" xfId="9">
      <alignment horizontal="center" vertical="center"/>
    </xf>
    <xf numFmtId="170" fontId="51" fillId="2" borderId="215" applyAlignment="1" pivotButton="0" quotePrefix="0" xfId="9">
      <alignment vertical="center"/>
    </xf>
    <xf numFmtId="170" fontId="51" fillId="0" borderId="215" applyAlignment="1" pivotButton="0" quotePrefix="0" xfId="9">
      <alignment horizontal="center" vertical="center"/>
    </xf>
    <xf numFmtId="170" fontId="51" fillId="0" borderId="246" applyAlignment="1" pivotButton="0" quotePrefix="0" xfId="9">
      <alignment horizontal="center" vertical="center"/>
    </xf>
    <xf numFmtId="0" fontId="30" fillId="2" borderId="326" applyAlignment="1" pivotButton="0" quotePrefix="0" xfId="8">
      <alignment horizontal="left" vertical="center"/>
    </xf>
    <xf numFmtId="0" fontId="30" fillId="0" borderId="345" applyAlignment="1" pivotButton="0" quotePrefix="0" xfId="8">
      <alignment horizontal="left" vertical="center"/>
    </xf>
    <xf numFmtId="0" fontId="44" fillId="13" borderId="160" applyAlignment="1" pivotButton="0" quotePrefix="0" xfId="8">
      <alignment horizontal="center" vertical="center"/>
    </xf>
    <xf numFmtId="0" fontId="44" fillId="13" borderId="161" applyAlignment="1" pivotButton="0" quotePrefix="0" xfId="8">
      <alignment horizontal="center" vertical="center"/>
    </xf>
    <xf numFmtId="0" fontId="44" fillId="13" borderId="164" applyAlignment="1" pivotButton="0" quotePrefix="0" xfId="8">
      <alignment horizontal="center" vertical="center"/>
    </xf>
    <xf numFmtId="0" fontId="44" fillId="13" borderId="346" applyAlignment="1" pivotButton="0" quotePrefix="0" xfId="8">
      <alignment horizontal="center" vertical="center"/>
    </xf>
    <xf numFmtId="170" fontId="44" fillId="13" borderId="347" applyAlignment="1" pivotButton="0" quotePrefix="0" xfId="8">
      <alignment horizontal="center" vertical="center"/>
    </xf>
    <xf numFmtId="170" fontId="44" fillId="13" borderId="346" applyAlignment="1" pivotButton="0" quotePrefix="0" xfId="8">
      <alignment horizontal="center" vertical="center"/>
    </xf>
    <xf numFmtId="0" fontId="46" fillId="2" borderId="51" applyAlignment="1" pivotButton="0" quotePrefix="0" xfId="8">
      <alignment horizontal="center"/>
    </xf>
    <xf numFmtId="170" fontId="41" fillId="2" borderId="0" applyAlignment="1" pivotButton="0" quotePrefix="0" xfId="9">
      <alignment horizontal="left" vertical="center"/>
    </xf>
    <xf numFmtId="170" fontId="41" fillId="2" borderId="0" applyAlignment="1" pivotButton="0" quotePrefix="0" xfId="9">
      <alignment horizontal="center"/>
    </xf>
    <xf numFmtId="170" fontId="42" fillId="2" borderId="0" applyAlignment="1" pivotButton="0" quotePrefix="0" xfId="9">
      <alignment horizontal="center"/>
    </xf>
    <xf numFmtId="0" fontId="41" fillId="2" borderId="114" applyAlignment="1" pivotButton="0" quotePrefix="0" xfId="8">
      <alignment horizontal="center"/>
    </xf>
    <xf numFmtId="0" fontId="50" fillId="0" borderId="51" applyAlignment="1" pivotButton="0" quotePrefix="0" xfId="8">
      <alignment horizontal="left"/>
    </xf>
    <xf numFmtId="170" fontId="0" fillId="2" borderId="114" applyAlignment="1" pivotButton="0" quotePrefix="0" xfId="9">
      <alignment horizontal="center" vertical="center"/>
    </xf>
    <xf numFmtId="0" fontId="56" fillId="2" borderId="0" applyAlignment="1" pivotButton="0" quotePrefix="0" xfId="8">
      <alignment horizontal="center"/>
    </xf>
    <xf numFmtId="0" fontId="78" fillId="25" borderId="350" applyAlignment="1" pivotButton="0" quotePrefix="0" xfId="8">
      <alignment horizontal="left" vertical="center"/>
    </xf>
    <xf numFmtId="170" fontId="51" fillId="0" borderId="351" applyAlignment="1" pivotButton="0" quotePrefix="0" xfId="9">
      <alignment horizontal="left" vertical="center"/>
    </xf>
    <xf numFmtId="166" fontId="51" fillId="0" borderId="352" applyAlignment="1" pivotButton="0" quotePrefix="0" xfId="9">
      <alignment horizontal="center" vertical="center"/>
    </xf>
    <xf numFmtId="170" fontId="51" fillId="2" borderId="353" applyAlignment="1" pivotButton="0" quotePrefix="0" xfId="9">
      <alignment horizontal="center" vertical="center"/>
    </xf>
    <xf numFmtId="170" fontId="51" fillId="2" borderId="351" applyAlignment="1" pivotButton="0" quotePrefix="0" xfId="9">
      <alignment vertical="center"/>
    </xf>
    <xf numFmtId="170" fontId="51" fillId="0" borderId="351" applyAlignment="1" pivotButton="0" quotePrefix="0" xfId="9">
      <alignment horizontal="center" vertical="center"/>
    </xf>
    <xf numFmtId="170" fontId="51" fillId="0" borderId="352" applyAlignment="1" pivotButton="0" quotePrefix="0" xfId="9">
      <alignment horizontal="center" vertical="center"/>
    </xf>
    <xf numFmtId="170" fontId="51" fillId="0" borderId="354" applyAlignment="1" pivotButton="0" quotePrefix="0" xfId="9">
      <alignment horizontal="center" vertical="center"/>
    </xf>
    <xf numFmtId="0" fontId="78" fillId="25" borderId="324" applyAlignment="1" pivotButton="0" quotePrefix="0" xfId="8">
      <alignment horizontal="left" vertical="center"/>
    </xf>
    <xf numFmtId="170" fontId="51" fillId="2" borderId="199" applyAlignment="1" pivotButton="0" quotePrefix="0" xfId="9">
      <alignment horizontal="left" vertical="center"/>
    </xf>
    <xf numFmtId="166" fontId="51" fillId="2" borderId="200" applyAlignment="1" pivotButton="0" quotePrefix="0" xfId="9">
      <alignment horizontal="center" vertical="center"/>
    </xf>
    <xf numFmtId="0" fontId="78" fillId="27" borderId="241" applyAlignment="1" pivotButton="0" quotePrefix="0" xfId="8">
      <alignment horizontal="left" vertical="center"/>
    </xf>
    <xf numFmtId="0" fontId="30" fillId="27" borderId="241" applyAlignment="1" pivotButton="0" quotePrefix="0" xfId="8">
      <alignment horizontal="left" vertical="center"/>
    </xf>
    <xf numFmtId="0" fontId="30" fillId="27" borderId="244" applyAlignment="1" pivotButton="0" quotePrefix="0" xfId="8">
      <alignment horizontal="left" vertical="center"/>
    </xf>
    <xf numFmtId="0" fontId="78" fillId="25" borderId="322" applyAlignment="1" pivotButton="0" quotePrefix="0" xfId="8">
      <alignment horizontal="left" vertical="center"/>
    </xf>
    <xf numFmtId="0" fontId="30" fillId="27" borderId="248" applyAlignment="1" pivotButton="0" quotePrefix="0" xfId="8">
      <alignment horizontal="left" vertical="center"/>
    </xf>
    <xf numFmtId="0" fontId="30" fillId="15" borderId="250" applyAlignment="1" pivotButton="0" quotePrefix="0" xfId="8">
      <alignment horizontal="left" vertical="center"/>
    </xf>
    <xf numFmtId="170" fontId="51" fillId="15" borderId="199" applyAlignment="1" pivotButton="0" quotePrefix="0" xfId="9">
      <alignment horizontal="left" vertical="center"/>
    </xf>
    <xf numFmtId="170" fontId="51" fillId="15" borderId="193" applyAlignment="1" pivotButton="0" quotePrefix="0" xfId="9">
      <alignment horizontal="left" vertical="center"/>
    </xf>
    <xf numFmtId="166" fontId="51" fillId="15" borderId="194" applyAlignment="1" pivotButton="0" quotePrefix="0" xfId="9">
      <alignment horizontal="center" vertical="center"/>
    </xf>
    <xf numFmtId="0" fontId="30" fillId="15" borderId="339" applyAlignment="1" pivotButton="0" quotePrefix="0" xfId="8">
      <alignment horizontal="left" vertical="center"/>
    </xf>
    <xf numFmtId="170" fontId="51" fillId="15" borderId="211" applyAlignment="1" pivotButton="0" quotePrefix="0" xfId="9">
      <alignment horizontal="left" vertical="center"/>
    </xf>
    <xf numFmtId="170" fontId="51" fillId="15" borderId="213" applyAlignment="1" pivotButton="0" quotePrefix="0" xfId="9">
      <alignment horizontal="left" vertical="center"/>
    </xf>
    <xf numFmtId="166" fontId="51" fillId="15" borderId="212" applyAlignment="1" pivotButton="0" quotePrefix="0" xfId="9">
      <alignment horizontal="center" vertical="center"/>
    </xf>
    <xf numFmtId="0" fontId="30" fillId="27" borderId="339" applyAlignment="1" pivotButton="0" quotePrefix="0" xfId="8">
      <alignment horizontal="left" vertical="center"/>
    </xf>
    <xf numFmtId="0" fontId="44" fillId="13" borderId="56" applyAlignment="1" pivotButton="0" quotePrefix="0" xfId="8">
      <alignment horizontal="center" vertical="center"/>
    </xf>
    <xf numFmtId="0" fontId="44" fillId="13" borderId="347" applyAlignment="1" pivotButton="0" quotePrefix="0" xfId="8">
      <alignment horizontal="center" vertical="center"/>
    </xf>
    <xf numFmtId="170" fontId="44" fillId="13" borderId="355" applyAlignment="1" pivotButton="0" quotePrefix="0" xfId="8">
      <alignment horizontal="center" vertical="center"/>
    </xf>
    <xf numFmtId="170" fontId="0" fillId="2" borderId="51" applyAlignment="1" pivotButton="0" quotePrefix="0" xfId="9">
      <alignment horizontal="center" vertical="center"/>
    </xf>
    <xf numFmtId="170" fontId="41" fillId="2" borderId="0" applyAlignment="1" pivotButton="0" quotePrefix="0" xfId="9">
      <alignment horizontal="center" vertical="center"/>
    </xf>
    <xf numFmtId="0" fontId="30" fillId="2" borderId="350" applyAlignment="1" pivotButton="0" quotePrefix="0" xfId="8">
      <alignment horizontal="left" vertical="center"/>
    </xf>
    <xf numFmtId="170" fontId="51" fillId="0" borderId="356" applyAlignment="1" pivotButton="0" quotePrefix="0" xfId="9">
      <alignment horizontal="left" vertical="center"/>
    </xf>
    <xf numFmtId="166" fontId="51" fillId="0" borderId="357" applyAlignment="1" pivotButton="0" quotePrefix="0" xfId="9">
      <alignment horizontal="center" vertical="center"/>
    </xf>
    <xf numFmtId="170" fontId="51" fillId="2" borderId="351" applyAlignment="1" pivotButton="0" quotePrefix="0" xfId="9">
      <alignment horizontal="center" vertical="center"/>
    </xf>
    <xf numFmtId="170" fontId="51" fillId="0" borderId="353" applyAlignment="1" pivotButton="0" quotePrefix="0" xfId="9">
      <alignment horizontal="center" vertical="center"/>
    </xf>
    <xf numFmtId="0" fontId="30" fillId="2" borderId="322" applyAlignment="1" pivotButton="0" quotePrefix="0" xfId="8">
      <alignment horizontal="left" vertical="center"/>
    </xf>
    <xf numFmtId="0" fontId="30" fillId="2" borderId="330" applyAlignment="1" pivotButton="0" quotePrefix="0" xfId="8">
      <alignment horizontal="left" vertical="center"/>
    </xf>
    <xf numFmtId="0" fontId="78" fillId="10" borderId="330" applyAlignment="1" pivotButton="0" quotePrefix="0" xfId="8">
      <alignment horizontal="left" vertical="center"/>
    </xf>
    <xf numFmtId="0" fontId="30" fillId="10" borderId="244" applyAlignment="1" pivotButton="0" quotePrefix="0" xfId="8">
      <alignment horizontal="left" vertical="center"/>
    </xf>
    <xf numFmtId="166" fontId="51" fillId="0" borderId="198" applyAlignment="1" pivotButton="0" quotePrefix="0" xfId="9">
      <alignment horizontal="center" vertical="center"/>
    </xf>
    <xf numFmtId="170" fontId="79" fillId="0" borderId="199" applyAlignment="1" pivotButton="0" quotePrefix="0" xfId="9">
      <alignment horizontal="left" vertical="center"/>
    </xf>
    <xf numFmtId="166" fontId="51" fillId="2" borderId="206" applyAlignment="1" pivotButton="0" quotePrefix="0" xfId="9">
      <alignment horizontal="center" vertical="center"/>
    </xf>
    <xf numFmtId="0" fontId="30" fillId="27" borderId="324" applyAlignment="1" pivotButton="0" quotePrefix="0" xfId="8">
      <alignment horizontal="left" vertical="center"/>
    </xf>
    <xf numFmtId="166" fontId="51" fillId="0" borderId="212" applyAlignment="1" pivotButton="0" quotePrefix="0" xfId="9">
      <alignment horizontal="center" vertical="center"/>
    </xf>
    <xf numFmtId="170" fontId="42" fillId="2" borderId="0" applyAlignment="1" pivotButton="0" quotePrefix="0" xfId="9">
      <alignment horizontal="center"/>
    </xf>
    <xf numFmtId="0" fontId="1" fillId="2" borderId="0" applyAlignment="1" pivotButton="0" quotePrefix="0" xfId="8">
      <alignment horizontal="center" vertical="center"/>
    </xf>
    <xf numFmtId="49" fontId="13" fillId="2" borderId="53" applyAlignment="1" pivotButton="0" quotePrefix="0" xfId="0">
      <alignment vertical="center"/>
    </xf>
    <xf numFmtId="0" fontId="51" fillId="0" borderId="175" applyAlignment="1" pivotButton="0" quotePrefix="0" xfId="9">
      <alignment horizontal="center" vertical="center"/>
    </xf>
    <xf numFmtId="0" fontId="51" fillId="0" borderId="24" applyAlignment="1" pivotButton="0" quotePrefix="0" xfId="9">
      <alignment horizontal="center" vertical="center"/>
    </xf>
    <xf numFmtId="49" fontId="77" fillId="9" borderId="120" applyAlignment="1" pivotButton="0" quotePrefix="0" xfId="0">
      <alignment horizontal="center" vertical="center" wrapText="1"/>
    </xf>
    <xf numFmtId="49" fontId="77" fillId="9" borderId="325" applyAlignment="1" pivotButton="0" quotePrefix="0" xfId="0">
      <alignment horizontal="center" vertical="center" wrapText="1"/>
    </xf>
    <xf numFmtId="0" fontId="51" fillId="0" borderId="180" applyAlignment="1" pivotButton="0" quotePrefix="0" xfId="9">
      <alignment horizontal="center" vertical="center"/>
    </xf>
    <xf numFmtId="0" fontId="51" fillId="0" borderId="176" applyAlignment="1" pivotButton="0" quotePrefix="0" xfId="9">
      <alignment horizontal="center" vertical="center"/>
    </xf>
    <xf numFmtId="49" fontId="77" fillId="9" borderId="120" applyAlignment="1" pivotButton="0" quotePrefix="0" xfId="0">
      <alignment horizontal="center" vertical="center"/>
    </xf>
    <xf numFmtId="49" fontId="77" fillId="9" borderId="341" applyAlignment="1" pivotButton="0" quotePrefix="0" xfId="0">
      <alignment horizontal="center" vertical="center"/>
    </xf>
    <xf numFmtId="49" fontId="77" fillId="9" borderId="342" applyAlignment="1" pivotButton="0" quotePrefix="0" xfId="0">
      <alignment horizontal="center" vertical="center"/>
    </xf>
    <xf numFmtId="49" fontId="77" fillId="9" borderId="325" applyAlignment="1" pivotButton="0" quotePrefix="0" xfId="0">
      <alignment horizontal="center" vertical="center"/>
    </xf>
    <xf numFmtId="49" fontId="77" fillId="9" borderId="332" applyAlignment="1" pivotButton="0" quotePrefix="0" xfId="0">
      <alignment horizontal="center" vertical="center"/>
    </xf>
    <xf numFmtId="0" fontId="51" fillId="0" borderId="105" applyAlignment="1" pivotButton="0" quotePrefix="0" xfId="9">
      <alignment horizontal="center" vertical="center"/>
    </xf>
    <xf numFmtId="170" fontId="44" fillId="15" borderId="108" applyAlignment="1" pivotButton="0" quotePrefix="0" xfId="9">
      <alignment horizontal="center" vertical="center"/>
    </xf>
    <xf numFmtId="170" fontId="44" fillId="15" borderId="106" applyAlignment="1" pivotButton="0" quotePrefix="0" xfId="9">
      <alignment horizontal="center" vertical="center"/>
    </xf>
    <xf numFmtId="170" fontId="44" fillId="15" borderId="107" applyAlignment="1" pivotButton="0" quotePrefix="0" xfId="9">
      <alignment horizontal="center" vertical="center"/>
    </xf>
    <xf numFmtId="170" fontId="44" fillId="7" borderId="108" applyAlignment="1" pivotButton="0" quotePrefix="0" xfId="9">
      <alignment horizontal="center" vertical="center" wrapText="1"/>
    </xf>
    <xf numFmtId="170" fontId="44" fillId="7" borderId="107" applyAlignment="1" pivotButton="0" quotePrefix="0" xfId="9">
      <alignment horizontal="center" vertical="center" wrapText="1"/>
    </xf>
    <xf numFmtId="170" fontId="44" fillId="8" borderId="108" applyAlignment="1" pivotButton="0" quotePrefix="0" xfId="9">
      <alignment horizontal="center" vertical="center" wrapText="1"/>
    </xf>
    <xf numFmtId="170" fontId="44" fillId="8" borderId="349" applyAlignment="1" pivotButton="0" quotePrefix="0" xfId="9">
      <alignment horizontal="center" vertical="center" wrapText="1"/>
    </xf>
    <xf numFmtId="49" fontId="77" fillId="9" borderId="133" applyAlignment="1" pivotButton="0" quotePrefix="0" xfId="0">
      <alignment horizontal="center" vertical="center" wrapText="1"/>
    </xf>
    <xf numFmtId="0" fontId="44" fillId="15" borderId="104" applyAlignment="1" pivotButton="0" quotePrefix="0" xfId="8">
      <alignment horizontal="center" vertical="center" wrapText="1"/>
    </xf>
    <xf numFmtId="0" fontId="44" fillId="15" borderId="115" applyAlignment="1" pivotButton="0" quotePrefix="0" xfId="8">
      <alignment horizontal="center" vertical="center" wrapText="1"/>
    </xf>
    <xf numFmtId="0" fontId="44" fillId="15" borderId="105" applyAlignment="1" pivotButton="0" quotePrefix="0" xfId="8">
      <alignment horizontal="center" vertical="center"/>
    </xf>
    <xf numFmtId="0" fontId="44" fillId="15" borderId="116" applyAlignment="1" pivotButton="0" quotePrefix="0" xfId="8">
      <alignment horizontal="center" vertical="center"/>
    </xf>
    <xf numFmtId="170" fontId="44" fillId="15" borderId="105" applyAlignment="1" pivotButton="0" quotePrefix="0" xfId="9">
      <alignment horizontal="center" vertical="center"/>
    </xf>
    <xf numFmtId="170" fontId="44" fillId="15" borderId="116" applyAlignment="1" pivotButton="0" quotePrefix="0" xfId="9">
      <alignment horizontal="center" vertical="center"/>
    </xf>
    <xf numFmtId="170" fontId="44" fillId="15" borderId="348" applyAlignment="1" pivotButton="0" quotePrefix="0" xfId="9">
      <alignment horizontal="center" vertical="center"/>
    </xf>
    <xf numFmtId="170" fontId="44" fillId="15" borderId="73" applyAlignment="1" pivotButton="0" quotePrefix="0" xfId="9">
      <alignment horizontal="center" vertical="center"/>
    </xf>
    <xf numFmtId="49" fontId="77" fillId="9" borderId="335" applyAlignment="1" pivotButton="0" quotePrefix="0" xfId="0">
      <alignment horizontal="center" vertical="center"/>
    </xf>
    <xf numFmtId="0" fontId="51" fillId="0" borderId="348" applyAlignment="1" pivotButton="0" quotePrefix="0" xfId="9">
      <alignment horizontal="center" vertical="center"/>
    </xf>
    <xf numFmtId="170" fontId="44" fillId="7" borderId="105" applyAlignment="1" pivotButton="0" quotePrefix="0" xfId="9">
      <alignment horizontal="center" vertical="center" wrapText="1"/>
    </xf>
    <xf numFmtId="170" fontId="44" fillId="8" borderId="105" applyAlignment="1" pivotButton="0" quotePrefix="0" xfId="9">
      <alignment horizontal="center" vertical="center" wrapText="1"/>
    </xf>
    <xf numFmtId="170" fontId="44" fillId="8" borderId="109" applyAlignment="1" pivotButton="0" quotePrefix="0" xfId="9">
      <alignment horizontal="center" vertical="center" wrapText="1"/>
    </xf>
    <xf numFmtId="49" fontId="77" fillId="9" borderId="133" applyAlignment="1" pivotButton="0" quotePrefix="0" xfId="0">
      <alignment horizontal="center" vertical="center"/>
    </xf>
    <xf numFmtId="0" fontId="44" fillId="15" borderId="320" applyAlignment="1" pivotButton="0" quotePrefix="0" xfId="8">
      <alignment horizontal="center" vertical="center" wrapText="1"/>
    </xf>
    <xf numFmtId="0" fontId="44" fillId="15" borderId="321" applyAlignment="1" pivotButton="0" quotePrefix="0" xfId="8">
      <alignment horizontal="center" vertical="center" wrapText="1"/>
    </xf>
    <xf numFmtId="0" fontId="44" fillId="15" borderId="104" applyAlignment="1" pivotButton="0" quotePrefix="0" xfId="8">
      <alignment horizontal="center" vertical="center"/>
    </xf>
    <xf numFmtId="0" fontId="44" fillId="15" borderId="115" applyAlignment="1" pivotButton="0" quotePrefix="0" xfId="8">
      <alignment horizontal="center" vertical="center"/>
    </xf>
    <xf numFmtId="49" fontId="77" fillId="9" borderId="332" applyAlignment="1" pivotButton="0" quotePrefix="0" xfId="0">
      <alignment horizontal="center" vertical="center" wrapText="1"/>
    </xf>
    <xf numFmtId="49" fontId="77" fillId="9" borderId="341" applyAlignment="1" pivotButton="0" quotePrefix="0" xfId="0">
      <alignment horizontal="center" vertical="center" wrapText="1"/>
    </xf>
    <xf numFmtId="49" fontId="77" fillId="9" borderId="342" applyAlignment="1" pivotButton="0" quotePrefix="0" xfId="0">
      <alignment horizontal="center" vertical="center" wrapText="1"/>
    </xf>
    <xf numFmtId="49" fontId="77" fillId="9" borderId="51" applyAlignment="1" pivotButton="0" quotePrefix="0" xfId="0">
      <alignment horizontal="center" vertical="center"/>
    </xf>
    <xf numFmtId="49" fontId="77" fillId="9" borderId="343" applyAlignment="1" pivotButton="0" quotePrefix="0" xfId="0">
      <alignment horizontal="center" vertical="center"/>
    </xf>
    <xf numFmtId="49" fontId="77" fillId="9" borderId="338" applyAlignment="1" pivotButton="0" quotePrefix="0" xfId="0">
      <alignment horizontal="center" vertical="center"/>
    </xf>
    <xf numFmtId="49" fontId="77" fillId="9" borderId="336" applyAlignment="1" pivotButton="0" quotePrefix="0" xfId="0">
      <alignment horizontal="center" vertical="center"/>
    </xf>
    <xf numFmtId="49" fontId="77" fillId="9" borderId="337" applyAlignment="1" pivotButton="0" quotePrefix="0" xfId="0">
      <alignment horizontal="center" vertical="center"/>
    </xf>
    <xf numFmtId="49" fontId="77" fillId="9" borderId="120" applyAlignment="1" pivotButton="0" quotePrefix="0" xfId="0">
      <alignment vertical="center"/>
    </xf>
    <xf numFmtId="49" fontId="77" fillId="9" borderId="325" applyAlignment="1" pivotButton="0" quotePrefix="0" xfId="0">
      <alignment vertical="center"/>
    </xf>
    <xf numFmtId="49" fontId="58" fillId="3" borderId="284" applyAlignment="1" pivotButton="0" quotePrefix="0" xfId="0">
      <alignment horizontal="center" vertical="center"/>
    </xf>
    <xf numFmtId="3" fontId="62" fillId="2" borderId="293" applyAlignment="1" pivotButton="0" quotePrefix="0" xfId="0">
      <alignment horizontal="right" vertical="center"/>
    </xf>
    <xf numFmtId="3" fontId="62" fillId="2" borderId="297" applyAlignment="1" pivotButton="0" quotePrefix="0" xfId="0">
      <alignment horizontal="right" vertical="center"/>
    </xf>
    <xf numFmtId="3" fontId="60" fillId="9" borderId="294" applyAlignment="1" pivotButton="0" quotePrefix="0" xfId="0">
      <alignment horizontal="right" vertical="center"/>
    </xf>
    <xf numFmtId="3" fontId="60" fillId="9" borderId="298" applyAlignment="1" pivotButton="0" quotePrefix="0" xfId="0">
      <alignment horizontal="right" vertical="center"/>
    </xf>
    <xf numFmtId="3" fontId="58" fillId="9" borderId="292" applyAlignment="1" pivotButton="0" quotePrefix="0" xfId="0">
      <alignment horizontal="right" vertical="center"/>
    </xf>
    <xf numFmtId="3" fontId="58" fillId="9" borderId="296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49" fontId="59" fillId="9" borderId="291" applyAlignment="1" pivotButton="0" quotePrefix="0" xfId="0">
      <alignment horizontal="center" vertical="center"/>
    </xf>
    <xf numFmtId="49" fontId="59" fillId="9" borderId="295" applyAlignment="1" pivotButton="0" quotePrefix="0" xfId="0">
      <alignment horizontal="center" vertical="center"/>
    </xf>
    <xf numFmtId="14" fontId="58" fillId="3" borderId="285" applyAlignment="1" pivotButton="0" quotePrefix="0" xfId="0">
      <alignment horizontal="center" vertical="center" wrapText="1"/>
    </xf>
    <xf numFmtId="14" fontId="58" fillId="3" borderId="286" applyAlignment="1" pivotButton="0" quotePrefix="0" xfId="0">
      <alignment horizontal="center" vertical="center" wrapText="1"/>
    </xf>
    <xf numFmtId="14" fontId="58" fillId="3" borderId="287" applyAlignment="1" pivotButton="0" quotePrefix="0" xfId="0">
      <alignment horizontal="center" vertical="center" wrapText="1"/>
    </xf>
    <xf numFmtId="14" fontId="58" fillId="3" borderId="165" applyAlignment="1" pivotButton="0" quotePrefix="0" xfId="0">
      <alignment horizontal="center" vertical="center" wrapText="1"/>
    </xf>
    <xf numFmtId="3" fontId="60" fillId="2" borderId="294" applyAlignment="1" pivotButton="0" quotePrefix="0" xfId="0">
      <alignment horizontal="right" vertical="center"/>
    </xf>
    <xf numFmtId="3" fontId="60" fillId="2" borderId="298" applyAlignment="1" pivotButton="0" quotePrefix="0" xfId="0">
      <alignment horizontal="right" vertical="center"/>
    </xf>
    <xf numFmtId="3" fontId="59" fillId="9" borderId="300" applyAlignment="1" pivotButton="0" quotePrefix="0" xfId="0">
      <alignment horizontal="right" vertical="center"/>
    </xf>
    <xf numFmtId="3" fontId="59" fillId="9" borderId="302" applyAlignment="1" pivotButton="0" quotePrefix="0" xfId="0">
      <alignment horizontal="right" vertical="center"/>
    </xf>
    <xf numFmtId="3" fontId="59" fillId="9" borderId="301" applyAlignment="1" pivotButton="0" quotePrefix="0" xfId="0">
      <alignment horizontal="right" vertical="center"/>
    </xf>
    <xf numFmtId="3" fontId="59" fillId="9" borderId="303" applyAlignment="1" pivotButton="0" quotePrefix="0" xfId="0">
      <alignment horizontal="right" vertical="center"/>
    </xf>
    <xf numFmtId="3" fontId="59" fillId="9" borderId="291" applyAlignment="1" pivotButton="0" quotePrefix="0" xfId="0">
      <alignment horizontal="right" vertical="center"/>
    </xf>
    <xf numFmtId="3" fontId="59" fillId="9" borderId="295" applyAlignment="1" pivotButton="0" quotePrefix="0" xfId="0">
      <alignment horizontal="right" vertical="center"/>
    </xf>
    <xf numFmtId="3" fontId="58" fillId="9" borderId="291" applyAlignment="1" pivotButton="0" quotePrefix="0" xfId="0">
      <alignment horizontal="right" vertical="center"/>
    </xf>
    <xf numFmtId="3" fontId="58" fillId="9" borderId="295" applyAlignment="1" pivotButton="0" quotePrefix="0" xfId="0">
      <alignment horizontal="right" vertical="center"/>
    </xf>
    <xf numFmtId="49" fontId="58" fillId="30" borderId="284" applyAlignment="1" pivotButton="0" quotePrefix="0" xfId="0">
      <alignment horizontal="center" vertical="center"/>
    </xf>
    <xf numFmtId="49" fontId="58" fillId="30" borderId="286" applyAlignment="1" pivotButton="0" quotePrefix="0" xfId="0">
      <alignment horizontal="center" vertical="center"/>
    </xf>
    <xf numFmtId="14" fontId="58" fillId="3" borderId="304" applyAlignment="1" pivotButton="0" quotePrefix="0" xfId="0">
      <alignment horizontal="center" vertical="center" wrapText="1"/>
    </xf>
    <xf numFmtId="14" fontId="58" fillId="3" borderId="305" applyAlignment="1" pivotButton="0" quotePrefix="0" xfId="0">
      <alignment horizontal="center" vertical="center" wrapText="1"/>
    </xf>
    <xf numFmtId="170" fontId="39" fillId="15" borderId="168" applyAlignment="1" pivotButton="0" quotePrefix="0" xfId="9">
      <alignment horizontal="center" vertical="center"/>
    </xf>
    <xf numFmtId="170" fontId="39" fillId="15" borderId="175" applyAlignment="1" pivotButton="0" quotePrefix="0" xfId="9">
      <alignment horizontal="center" vertical="center"/>
    </xf>
    <xf numFmtId="0" fontId="30" fillId="0" borderId="166" applyAlignment="1" pivotButton="0" quotePrefix="0" xfId="8">
      <alignment horizontal="left"/>
    </xf>
    <xf numFmtId="0" fontId="38" fillId="15" borderId="167" applyAlignment="1" pivotButton="0" quotePrefix="0" xfId="8">
      <alignment horizontal="center" vertical="center" wrapText="1"/>
    </xf>
    <xf numFmtId="0" fontId="38" fillId="15" borderId="174" applyAlignment="1" pivotButton="0" quotePrefix="0" xfId="8">
      <alignment horizontal="center" vertical="center" wrapText="1"/>
    </xf>
    <xf numFmtId="0" fontId="39" fillId="15" borderId="168" applyAlignment="1" pivotButton="0" quotePrefix="0" xfId="8">
      <alignment horizontal="center" vertical="center"/>
    </xf>
    <xf numFmtId="0" fontId="39" fillId="15" borderId="175" applyAlignment="1" pivotButton="0" quotePrefix="0" xfId="8">
      <alignment horizontal="center" vertical="center"/>
    </xf>
    <xf numFmtId="181" fontId="38" fillId="15" borderId="169" applyAlignment="1" pivotButton="0" quotePrefix="0" xfId="9">
      <alignment horizontal="center" vertical="center" wrapText="1"/>
    </xf>
    <xf numFmtId="181" fontId="38" fillId="15" borderId="170" applyAlignment="1" pivotButton="0" quotePrefix="0" xfId="9">
      <alignment horizontal="center" vertical="center" wrapText="1"/>
    </xf>
    <xf numFmtId="170" fontId="38" fillId="7" borderId="171" applyAlignment="1" pivotButton="0" quotePrefix="0" xfId="9">
      <alignment horizontal="center" vertical="center" wrapText="1"/>
    </xf>
    <xf numFmtId="170" fontId="38" fillId="7" borderId="172" applyAlignment="1" pivotButton="0" quotePrefix="0" xfId="9">
      <alignment horizontal="center" vertical="center" wrapText="1"/>
    </xf>
    <xf numFmtId="170" fontId="38" fillId="7" borderId="173" applyAlignment="1" pivotButton="0" quotePrefix="0" xfId="9">
      <alignment horizontal="center" vertical="center" wrapText="1"/>
    </xf>
    <xf numFmtId="49" fontId="40" fillId="0" borderId="183" applyAlignment="1" pivotButton="0" quotePrefix="0" xfId="0">
      <alignment horizontal="center" vertical="center"/>
    </xf>
    <xf numFmtId="49" fontId="40" fillId="0" borderId="197" applyAlignment="1" pivotButton="0" quotePrefix="0" xfId="0">
      <alignment horizontal="center" vertical="center"/>
    </xf>
    <xf numFmtId="49" fontId="40" fillId="0" borderId="210" applyAlignment="1" pivotButton="0" quotePrefix="0" xfId="0">
      <alignment horizontal="center" vertical="center"/>
    </xf>
    <xf numFmtId="49" fontId="40" fillId="9" borderId="183" applyAlignment="1" pivotButton="0" quotePrefix="0" xfId="0">
      <alignment horizontal="center" vertical="center"/>
    </xf>
    <xf numFmtId="49" fontId="40" fillId="9" borderId="197" applyAlignment="1" pivotButton="0" quotePrefix="0" xfId="0">
      <alignment horizontal="center" vertical="center"/>
    </xf>
    <xf numFmtId="49" fontId="40" fillId="9" borderId="210" applyAlignment="1" pivotButton="0" quotePrefix="0" xfId="0">
      <alignment horizontal="center" vertical="center"/>
    </xf>
    <xf numFmtId="49" fontId="40" fillId="9" borderId="188" applyAlignment="1" pivotButton="0" quotePrefix="0" xfId="0">
      <alignment horizontal="center" vertical="center"/>
    </xf>
    <xf numFmtId="49" fontId="40" fillId="9" borderId="205" applyAlignment="1" pivotButton="0" quotePrefix="0" xfId="0">
      <alignment horizontal="center" vertical="center"/>
    </xf>
    <xf numFmtId="49" fontId="40" fillId="9" borderId="208" applyAlignment="1" pivotButton="0" quotePrefix="0" xfId="0">
      <alignment horizontal="center" vertical="center"/>
    </xf>
    <xf numFmtId="49" fontId="40" fillId="9" borderId="232" applyAlignment="1" pivotButton="0" quotePrefix="0" xfId="0">
      <alignment horizontal="center" vertical="center"/>
    </xf>
    <xf numFmtId="0" fontId="40" fillId="9" borderId="183" applyAlignment="1" pivotButton="0" quotePrefix="0" xfId="0">
      <alignment horizontal="center" vertical="center"/>
    </xf>
    <xf numFmtId="49" fontId="40" fillId="9" borderId="180" applyAlignment="1" pivotButton="0" quotePrefix="0" xfId="0">
      <alignment horizontal="center" vertical="center"/>
    </xf>
    <xf numFmtId="49" fontId="40" fillId="9" borderId="176" applyAlignment="1" pivotButton="0" quotePrefix="0" xfId="0">
      <alignment horizontal="center" vertical="center"/>
    </xf>
    <xf numFmtId="49" fontId="40" fillId="9" borderId="175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3" fontId="30" fillId="5" borderId="279" applyAlignment="1" pivotButton="0" quotePrefix="0" xfId="0">
      <alignment horizontal="center" vertical="center"/>
    </xf>
    <xf numFmtId="3" fontId="30" fillId="5" borderId="280" applyAlignment="1" pivotButton="0" quotePrefix="0" xfId="0">
      <alignment horizontal="center" vertical="center"/>
    </xf>
    <xf numFmtId="3" fontId="30" fillId="5" borderId="281" applyAlignment="1" pivotButton="0" quotePrefix="0" xfId="0">
      <alignment horizontal="center" vertical="center"/>
    </xf>
    <xf numFmtId="0" fontId="53" fillId="0" borderId="0" applyAlignment="1" pivotButton="0" quotePrefix="1" xfId="0">
      <alignment horizontal="right"/>
    </xf>
    <xf numFmtId="0" fontId="55" fillId="0" borderId="0" applyAlignment="1" pivotButton="0" quotePrefix="0" xfId="0">
      <alignment horizontal="left" wrapText="1"/>
    </xf>
    <xf numFmtId="174" fontId="30" fillId="28" borderId="267" applyAlignment="1" pivotButton="0" quotePrefix="0" xfId="7">
      <alignment horizontal="center" vertical="center"/>
    </xf>
    <xf numFmtId="174" fontId="30" fillId="28" borderId="176" applyAlignment="1" pivotButton="0" quotePrefix="0" xfId="7">
      <alignment horizontal="center" vertical="center"/>
    </xf>
    <xf numFmtId="174" fontId="30" fillId="28" borderId="271" applyAlignment="1" pivotButton="0" quotePrefix="0" xfId="7">
      <alignment horizontal="center" vertical="center"/>
    </xf>
    <xf numFmtId="3" fontId="30" fillId="28" borderId="267" applyAlignment="1" pivotButton="0" quotePrefix="0" xfId="7">
      <alignment horizontal="center" vertical="center"/>
    </xf>
    <xf numFmtId="3" fontId="30" fillId="28" borderId="176" applyAlignment="1" pivotButton="0" quotePrefix="0" xfId="7">
      <alignment horizontal="center" vertical="center"/>
    </xf>
    <xf numFmtId="3" fontId="30" fillId="28" borderId="271" applyAlignment="1" pivotButton="0" quotePrefix="0" xfId="7">
      <alignment horizontal="center" vertical="center"/>
    </xf>
    <xf numFmtId="4" fontId="30" fillId="28" borderId="267" applyAlignment="1" pivotButton="0" quotePrefix="0" xfId="7">
      <alignment horizontal="center" vertical="center"/>
    </xf>
    <xf numFmtId="4" fontId="30" fillId="28" borderId="176" applyAlignment="1" pivotButton="0" quotePrefix="0" xfId="7">
      <alignment horizontal="center" vertical="center"/>
    </xf>
    <xf numFmtId="4" fontId="30" fillId="28" borderId="271" applyAlignment="1" pivotButton="0" quotePrefix="0" xfId="7">
      <alignment horizontal="center" vertical="center"/>
    </xf>
    <xf numFmtId="10" fontId="30" fillId="28" borderId="268" applyAlignment="1" pivotButton="0" quotePrefix="0" xfId="7">
      <alignment horizontal="center" vertical="center"/>
    </xf>
    <xf numFmtId="10" fontId="30" fillId="28" borderId="269" applyAlignment="1" pivotButton="0" quotePrefix="0" xfId="7">
      <alignment horizontal="center" vertical="center"/>
    </xf>
    <xf numFmtId="10" fontId="30" fillId="28" borderId="272" applyAlignment="1" pivotButton="0" quotePrefix="0" xfId="7">
      <alignment horizontal="center" vertical="center"/>
    </xf>
    <xf numFmtId="3" fontId="30" fillId="0" borderId="265" applyAlignment="1" pivotButton="0" quotePrefix="0" xfId="0">
      <alignment horizontal="center" vertical="center"/>
    </xf>
    <xf numFmtId="3" fontId="30" fillId="0" borderId="270" applyAlignment="1" pivotButton="0" quotePrefix="0" xfId="0">
      <alignment horizontal="center" vertical="center"/>
    </xf>
    <xf numFmtId="3" fontId="30" fillId="15" borderId="267" applyAlignment="1" pivotButton="0" quotePrefix="0" xfId="0">
      <alignment horizontal="center" vertical="center"/>
    </xf>
    <xf numFmtId="3" fontId="30" fillId="15" borderId="271" applyAlignment="1" pivotButton="0" quotePrefix="0" xfId="0">
      <alignment horizontal="center" vertical="center"/>
    </xf>
    <xf numFmtId="175" fontId="30" fillId="15" borderId="267" applyAlignment="1" pivotButton="0" quotePrefix="0" xfId="0">
      <alignment horizontal="center" vertical="center"/>
    </xf>
    <xf numFmtId="175" fontId="30" fillId="15" borderId="271" applyAlignment="1" pivotButton="0" quotePrefix="0" xfId="0">
      <alignment horizontal="center" vertical="center"/>
    </xf>
    <xf numFmtId="3" fontId="30" fillId="0" borderId="267" applyAlignment="1" pivotButton="0" quotePrefix="0" xfId="0">
      <alignment horizontal="center" vertical="center"/>
    </xf>
    <xf numFmtId="3" fontId="30" fillId="0" borderId="271" applyAlignment="1" pivotButton="0" quotePrefix="0" xfId="0">
      <alignment horizontal="center" vertical="center"/>
    </xf>
    <xf numFmtId="174" fontId="30" fillId="0" borderId="267" applyAlignment="1" pivotButton="0" quotePrefix="0" xfId="7">
      <alignment horizontal="center" vertical="center"/>
    </xf>
    <xf numFmtId="174" fontId="30" fillId="0" borderId="271" applyAlignment="1" pivotButton="0" quotePrefix="0" xfId="7">
      <alignment horizontal="center" vertical="center"/>
    </xf>
    <xf numFmtId="3" fontId="30" fillId="0" borderId="174" applyAlignment="1" pivotButton="0" quotePrefix="0" xfId="0">
      <alignment horizontal="center" vertical="center"/>
    </xf>
    <xf numFmtId="3" fontId="30" fillId="29" borderId="267" applyAlignment="1" pivotButton="0" quotePrefix="0" xfId="0">
      <alignment horizontal="center" vertical="center"/>
    </xf>
    <xf numFmtId="3" fontId="30" fillId="29" borderId="176" applyAlignment="1" pivotButton="0" quotePrefix="0" xfId="0">
      <alignment horizontal="center" vertical="center"/>
    </xf>
    <xf numFmtId="3" fontId="30" fillId="29" borderId="271" applyAlignment="1" pivotButton="0" quotePrefix="0" xfId="0">
      <alignment horizontal="center" vertical="center"/>
    </xf>
    <xf numFmtId="175" fontId="30" fillId="15" borderId="176" applyAlignment="1" pivotButton="0" quotePrefix="0" xfId="0">
      <alignment horizontal="center" vertical="center"/>
    </xf>
    <xf numFmtId="3" fontId="30" fillId="0" borderId="176" applyAlignment="1" pivotButton="0" quotePrefix="0" xfId="0">
      <alignment horizontal="center" vertical="center"/>
    </xf>
    <xf numFmtId="174" fontId="30" fillId="0" borderId="176" applyAlignment="1" pivotButton="0" quotePrefix="0" xfId="7">
      <alignment horizontal="center" vertical="center"/>
    </xf>
    <xf numFmtId="175" fontId="42" fillId="0" borderId="0" applyAlignment="1" pivotButton="0" quotePrefix="0" xfId="0">
      <alignment horizontal="left"/>
    </xf>
    <xf numFmtId="175" fontId="30" fillId="29" borderId="176" applyAlignment="1" pivotButton="0" quotePrefix="0" xfId="0">
      <alignment horizontal="center" vertical="center"/>
    </xf>
    <xf numFmtId="175" fontId="30" fillId="29" borderId="271" applyAlignment="1" pivotButton="0" quotePrefix="0" xfId="0">
      <alignment horizontal="center" vertical="center"/>
    </xf>
    <xf numFmtId="3" fontId="30" fillId="15" borderId="176" applyAlignment="1" pivotButton="0" quotePrefix="0" xfId="0">
      <alignment horizontal="center" vertical="center"/>
    </xf>
    <xf numFmtId="0" fontId="30" fillId="28" borderId="267" applyAlignment="1" pivotButton="0" quotePrefix="0" xfId="7">
      <alignment horizontal="center" vertical="center"/>
    </xf>
    <xf numFmtId="0" fontId="30" fillId="28" borderId="271" applyAlignment="1" pivotButton="0" quotePrefix="0" xfId="7">
      <alignment horizontal="center" vertical="center"/>
    </xf>
    <xf numFmtId="176" fontId="42" fillId="0" borderId="0" applyAlignment="1" pivotButton="0" quotePrefix="0" xfId="0">
      <alignment horizontal="left"/>
    </xf>
    <xf numFmtId="175" fontId="30" fillId="28" borderId="267" applyAlignment="1" pivotButton="0" quotePrefix="0" xfId="7">
      <alignment horizontal="center" vertical="center"/>
    </xf>
    <xf numFmtId="175" fontId="30" fillId="28" borderId="271" applyAlignment="1" pivotButton="0" quotePrefix="0" xfId="7">
      <alignment horizontal="center" vertical="center"/>
    </xf>
    <xf numFmtId="3" fontId="42" fillId="0" borderId="0" applyAlignment="1" pivotButton="0" quotePrefix="0" xfId="0">
      <alignment horizontal="left"/>
    </xf>
    <xf numFmtId="175" fontId="30" fillId="29" borderId="267" applyAlignment="1" pivotButton="0" quotePrefix="0" xfId="0">
      <alignment horizontal="center" vertical="center"/>
    </xf>
    <xf numFmtId="173" fontId="30" fillId="28" borderId="267" applyAlignment="1" pivotButton="0" quotePrefix="0" xfId="7">
      <alignment horizontal="center" vertical="center"/>
    </xf>
    <xf numFmtId="173" fontId="30" fillId="28" borderId="176" applyAlignment="1" pivotButton="0" quotePrefix="0" xfId="7">
      <alignment horizontal="center" vertical="center"/>
    </xf>
    <xf numFmtId="173" fontId="30" fillId="28" borderId="271" applyAlignment="1" pivotButton="0" quotePrefix="0" xfId="7">
      <alignment horizontal="center" vertical="center"/>
    </xf>
    <xf numFmtId="174" fontId="30" fillId="0" borderId="266" applyAlignment="1" pivotButton="0" quotePrefix="0" xfId="7">
      <alignment horizontal="center" vertical="center"/>
    </xf>
    <xf numFmtId="174" fontId="30" fillId="0" borderId="263" applyAlignment="1" pivotButton="0" quotePrefix="0" xfId="7">
      <alignment horizontal="center" vertical="center"/>
    </xf>
    <xf numFmtId="3" fontId="30" fillId="28" borderId="266" applyAlignment="1" pivotButton="0" quotePrefix="0" xfId="7">
      <alignment horizontal="center" vertical="center"/>
    </xf>
    <xf numFmtId="3" fontId="30" fillId="28" borderId="263" applyAlignment="1" pivotButton="0" quotePrefix="0" xfId="7">
      <alignment horizontal="center" vertical="center"/>
    </xf>
    <xf numFmtId="3" fontId="30" fillId="29" borderId="266" applyAlignment="1" pivotButton="0" quotePrefix="0" xfId="0">
      <alignment horizontal="center" vertical="center"/>
    </xf>
    <xf numFmtId="3" fontId="30" fillId="29" borderId="263" applyAlignment="1" pivotButton="0" quotePrefix="0" xfId="0">
      <alignment horizontal="center" vertical="center"/>
    </xf>
    <xf numFmtId="3" fontId="30" fillId="15" borderId="266" applyAlignment="1" pivotButton="0" quotePrefix="0" xfId="0">
      <alignment horizontal="center" vertical="center"/>
    </xf>
    <xf numFmtId="3" fontId="30" fillId="15" borderId="263" applyAlignment="1" pivotButton="0" quotePrefix="0" xfId="0">
      <alignment horizontal="center" vertical="center"/>
    </xf>
    <xf numFmtId="175" fontId="30" fillId="15" borderId="266" applyAlignment="1" pivotButton="0" quotePrefix="0" xfId="0">
      <alignment horizontal="center" vertical="center"/>
    </xf>
    <xf numFmtId="175" fontId="30" fillId="15" borderId="263" applyAlignment="1" pivotButton="0" quotePrefix="0" xfId="0">
      <alignment horizontal="center" vertical="center"/>
    </xf>
    <xf numFmtId="3" fontId="30" fillId="0" borderId="266" applyAlignment="1" pivotButton="0" quotePrefix="0" xfId="0">
      <alignment horizontal="center" vertical="center"/>
    </xf>
    <xf numFmtId="3" fontId="30" fillId="0" borderId="263" applyAlignment="1" pivotButton="0" quotePrefix="0" xfId="0">
      <alignment horizontal="center" vertical="center"/>
    </xf>
    <xf numFmtId="175" fontId="30" fillId="28" borderId="176" applyAlignment="1" pivotButton="0" quotePrefix="0" xfId="7">
      <alignment horizontal="center" vertical="center"/>
    </xf>
    <xf numFmtId="0" fontId="30" fillId="28" borderId="176" applyAlignment="1" pivotButton="0" quotePrefix="0" xfId="7">
      <alignment horizontal="center" vertical="center"/>
    </xf>
    <xf numFmtId="3" fontId="30" fillId="0" borderId="265" applyAlignment="1" pivotButton="0" quotePrefix="0" xfId="0">
      <alignment horizontal="center" vertical="center" wrapText="1"/>
    </xf>
    <xf numFmtId="3" fontId="30" fillId="0" borderId="174" applyAlignment="1" pivotButton="0" quotePrefix="0" xfId="0">
      <alignment horizontal="center" vertical="center" wrapText="1"/>
    </xf>
    <xf numFmtId="3" fontId="30" fillId="0" borderId="270" applyAlignment="1" pivotButton="0" quotePrefix="0" xfId="0">
      <alignment horizontal="center" vertical="center" wrapText="1"/>
    </xf>
    <xf numFmtId="3" fontId="52" fillId="29" borderId="267" applyAlignment="1" pivotButton="0" quotePrefix="0" xfId="0">
      <alignment horizontal="center" vertical="center" shrinkToFit="1"/>
    </xf>
    <xf numFmtId="3" fontId="52" fillId="29" borderId="176" applyAlignment="1" pivotButton="0" quotePrefix="0" xfId="0">
      <alignment horizontal="center" vertical="center" shrinkToFit="1"/>
    </xf>
    <xf numFmtId="3" fontId="52" fillId="29" borderId="271" applyAlignment="1" pivotButton="0" quotePrefix="0" xfId="0">
      <alignment horizontal="center" vertical="center" shrinkToFit="1"/>
    </xf>
    <xf numFmtId="3" fontId="52" fillId="15" borderId="267" applyAlignment="1" pivotButton="0" quotePrefix="0" xfId="0">
      <alignment horizontal="center" vertical="center" shrinkToFit="1"/>
    </xf>
    <xf numFmtId="3" fontId="52" fillId="15" borderId="176" applyAlignment="1" pivotButton="0" quotePrefix="0" xfId="0">
      <alignment horizontal="center" vertical="center" shrinkToFit="1"/>
    </xf>
    <xf numFmtId="3" fontId="52" fillId="15" borderId="271" applyAlignment="1" pivotButton="0" quotePrefix="0" xfId="0">
      <alignment horizontal="center" vertical="center" shrinkToFit="1"/>
    </xf>
    <xf numFmtId="174" fontId="30" fillId="28" borderId="268" applyAlignment="1" pivotButton="0" quotePrefix="0" xfId="7">
      <alignment horizontal="center" vertical="center"/>
    </xf>
    <xf numFmtId="174" fontId="30" fillId="28" borderId="269" applyAlignment="1" pivotButton="0" quotePrefix="0" xfId="7">
      <alignment horizontal="center" vertical="center"/>
    </xf>
    <xf numFmtId="174" fontId="30" fillId="28" borderId="272" applyAlignment="1" pivotButton="0" quotePrefix="0" xfId="7">
      <alignment horizontal="center" vertical="center"/>
    </xf>
    <xf numFmtId="175" fontId="52" fillId="15" borderId="267" applyAlignment="1" pivotButton="0" quotePrefix="0" xfId="0">
      <alignment horizontal="center" vertical="center" shrinkToFit="1"/>
    </xf>
    <xf numFmtId="175" fontId="52" fillId="15" borderId="176" applyAlignment="1" pivotButton="0" quotePrefix="0" xfId="0">
      <alignment horizontal="center" vertical="center" shrinkToFit="1"/>
    </xf>
    <xf numFmtId="175" fontId="52" fillId="15" borderId="271" applyAlignment="1" pivotButton="0" quotePrefix="0" xfId="0">
      <alignment horizontal="center" vertical="center" shrinkToFit="1"/>
    </xf>
    <xf numFmtId="175" fontId="30" fillId="15" borderId="267" applyAlignment="1" pivotButton="0" quotePrefix="0" xfId="0">
      <alignment horizontal="center" vertical="center" wrapText="1"/>
    </xf>
    <xf numFmtId="175" fontId="30" fillId="15" borderId="176" applyAlignment="1" pivotButton="0" quotePrefix="0" xfId="0">
      <alignment horizontal="center" vertical="center" wrapText="1"/>
    </xf>
    <xf numFmtId="175" fontId="30" fillId="15" borderId="271" applyAlignment="1" pivotButton="0" quotePrefix="0" xfId="0">
      <alignment horizontal="center" vertical="center" wrapText="1"/>
    </xf>
    <xf numFmtId="0" fontId="52" fillId="28" borderId="171" applyAlignment="1" pivotButton="0" quotePrefix="0" xfId="0">
      <alignment horizontal="center" vertical="center" shrinkToFit="1"/>
    </xf>
    <xf numFmtId="0" fontId="52" fillId="28" borderId="255" applyAlignment="1" pivotButton="0" quotePrefix="0" xfId="0">
      <alignment horizontal="center" vertical="center" shrinkToFit="1"/>
    </xf>
    <xf numFmtId="0" fontId="52" fillId="28" borderId="239" applyAlignment="1" pivotButton="0" quotePrefix="0" xfId="0">
      <alignment horizontal="center" vertical="center" shrinkToFit="1"/>
    </xf>
    <xf numFmtId="0" fontId="52" fillId="28" borderId="240" applyAlignment="1" pivotButton="0" quotePrefix="0" xfId="0">
      <alignment horizontal="center" vertical="center" shrinkToFit="1"/>
    </xf>
    <xf numFmtId="0" fontId="52" fillId="28" borderId="171" applyAlignment="1" pivotButton="0" quotePrefix="0" xfId="0">
      <alignment horizontal="center" vertical="center" wrapText="1" shrinkToFit="1"/>
    </xf>
    <xf numFmtId="0" fontId="52" fillId="28" borderId="255" applyAlignment="1" pivotButton="0" quotePrefix="0" xfId="0">
      <alignment horizontal="center" vertical="center" wrapText="1" shrinkToFit="1"/>
    </xf>
    <xf numFmtId="0" fontId="52" fillId="28" borderId="239" applyAlignment="1" pivotButton="0" quotePrefix="0" xfId="0">
      <alignment horizontal="center" vertical="center" wrapText="1" shrinkToFit="1"/>
    </xf>
    <xf numFmtId="0" fontId="52" fillId="28" borderId="240" applyAlignment="1" pivotButton="0" quotePrefix="0" xfId="0">
      <alignment horizontal="center" vertical="center" wrapText="1" shrinkToFit="1"/>
    </xf>
    <xf numFmtId="0" fontId="52" fillId="28" borderId="173" applyAlignment="1" pivotButton="0" quotePrefix="0" xfId="0">
      <alignment horizontal="center" vertical="center" shrinkToFit="1"/>
    </xf>
    <xf numFmtId="0" fontId="52" fillId="28" borderId="261" applyAlignment="1" pivotButton="0" quotePrefix="0" xfId="0">
      <alignment horizontal="center" vertical="center" shrinkToFit="1"/>
    </xf>
    <xf numFmtId="0" fontId="52" fillId="25" borderId="112" applyAlignment="1" pivotButton="0" quotePrefix="0" xfId="0">
      <alignment horizontal="center" vertical="center" shrinkToFit="1"/>
    </xf>
    <xf numFmtId="0" fontId="52" fillId="25" borderId="260" applyAlignment="1" pivotButton="0" quotePrefix="0" xfId="0">
      <alignment horizontal="center" vertical="center" shrinkToFit="1"/>
    </xf>
    <xf numFmtId="0" fontId="52" fillId="25" borderId="177" applyAlignment="1" pivotButton="0" quotePrefix="0" xfId="0">
      <alignment horizontal="center" vertical="center" shrinkToFit="1"/>
    </xf>
    <xf numFmtId="0" fontId="52" fillId="25" borderId="112" applyAlignment="1" pivotButton="0" quotePrefix="0" xfId="0">
      <alignment horizontal="center" vertical="center" wrapText="1" shrinkToFit="1"/>
    </xf>
    <xf numFmtId="0" fontId="52" fillId="25" borderId="260" applyAlignment="1" pivotButton="0" quotePrefix="0" xfId="0">
      <alignment horizontal="center" vertical="center" wrapText="1" shrinkToFit="1"/>
    </xf>
    <xf numFmtId="0" fontId="52" fillId="25" borderId="177" applyAlignment="1" pivotButton="0" quotePrefix="0" xfId="0">
      <alignment horizontal="center" vertical="center" wrapText="1" shrinkToFit="1"/>
    </xf>
    <xf numFmtId="0" fontId="30" fillId="28" borderId="253" applyAlignment="1" pivotButton="0" quotePrefix="0" xfId="0">
      <alignment horizontal="center"/>
    </xf>
    <xf numFmtId="0" fontId="30" fillId="28" borderId="254" applyAlignment="1" pivotButton="0" quotePrefix="0" xfId="0">
      <alignment horizontal="center"/>
    </xf>
    <xf numFmtId="0" fontId="30" fillId="28" borderId="251" applyAlignment="1" pivotButton="0" quotePrefix="0" xfId="0">
      <alignment horizontal="center"/>
    </xf>
    <xf numFmtId="0" fontId="52" fillId="5" borderId="167" applyAlignment="1" pivotButton="0" quotePrefix="0" xfId="0">
      <alignment horizontal="center" vertical="center" shrinkToFit="1"/>
    </xf>
    <xf numFmtId="0" fontId="52" fillId="5" borderId="259" applyAlignment="1" pivotButton="0" quotePrefix="0" xfId="0">
      <alignment horizontal="center" vertical="center" shrinkToFit="1"/>
    </xf>
    <xf numFmtId="0" fontId="52" fillId="5" borderId="168" applyAlignment="1" pivotButton="0" quotePrefix="0" xfId="0">
      <alignment horizontal="center" vertical="center" shrinkToFit="1"/>
    </xf>
    <xf numFmtId="0" fontId="52" fillId="5" borderId="175" applyAlignment="1" pivotButton="0" quotePrefix="0" xfId="0">
      <alignment horizontal="center" vertical="center" shrinkToFit="1"/>
    </xf>
    <xf numFmtId="0" fontId="30" fillId="5" borderId="168" applyAlignment="1" pivotButton="0" quotePrefix="0" xfId="0">
      <alignment horizontal="center" vertical="center" wrapText="1"/>
    </xf>
    <xf numFmtId="0" fontId="30" fillId="5" borderId="175" applyAlignment="1" pivotButton="0" quotePrefix="0" xfId="0">
      <alignment horizontal="center" vertical="center" wrapText="1"/>
    </xf>
    <xf numFmtId="0" fontId="30" fillId="29" borderId="171" applyAlignment="1" pivotButton="0" quotePrefix="0" xfId="0">
      <alignment horizontal="center" vertical="center" wrapText="1"/>
    </xf>
    <xf numFmtId="0" fontId="30" fillId="29" borderId="255" applyAlignment="1" pivotButton="0" quotePrefix="0" xfId="0">
      <alignment horizontal="center" vertical="center" wrapText="1"/>
    </xf>
    <xf numFmtId="0" fontId="30" fillId="29" borderId="239" applyAlignment="1" pivotButton="0" quotePrefix="0" xfId="0">
      <alignment horizontal="center" vertical="center" wrapText="1"/>
    </xf>
    <xf numFmtId="0" fontId="30" fillId="29" borderId="240" applyAlignment="1" pivotButton="0" quotePrefix="0" xfId="0">
      <alignment horizontal="center" vertical="center" wrapText="1"/>
    </xf>
    <xf numFmtId="0" fontId="52" fillId="15" borderId="171" applyAlignment="1" pivotButton="0" quotePrefix="0" xfId="0">
      <alignment horizontal="center" vertical="center" wrapText="1" shrinkToFit="1"/>
    </xf>
    <xf numFmtId="0" fontId="52" fillId="15" borderId="255" applyAlignment="1" pivotButton="0" quotePrefix="0" xfId="0">
      <alignment horizontal="center" vertical="center" wrapText="1" shrinkToFit="1"/>
    </xf>
    <xf numFmtId="0" fontId="52" fillId="15" borderId="239" applyAlignment="1" pivotButton="0" quotePrefix="0" xfId="0">
      <alignment horizontal="center" vertical="center" wrapText="1" shrinkToFit="1"/>
    </xf>
    <xf numFmtId="0" fontId="52" fillId="15" borderId="240" applyAlignment="1" pivotButton="0" quotePrefix="0" xfId="0">
      <alignment horizontal="center" vertical="center" wrapText="1" shrinkToFit="1"/>
    </xf>
    <xf numFmtId="0" fontId="52" fillId="25" borderId="256" applyAlignment="1" pivotButton="0" quotePrefix="0" xfId="0">
      <alignment horizontal="center" vertical="center" shrinkToFit="1"/>
    </xf>
    <xf numFmtId="0" fontId="52" fillId="25" borderId="257" applyAlignment="1" pivotButton="0" quotePrefix="0" xfId="0">
      <alignment horizontal="center" vertical="center" shrinkToFit="1"/>
    </xf>
    <xf numFmtId="0" fontId="52" fillId="25" borderId="258" applyAlignment="1" pivotButton="0" quotePrefix="0" xfId="0">
      <alignment horizontal="center" vertical="center" shrinkToFit="1"/>
    </xf>
    <xf numFmtId="9" fontId="52" fillId="5" borderId="171" applyAlignment="1" pivotButton="0" quotePrefix="0" xfId="7">
      <alignment horizontal="center" vertical="center" wrapText="1" shrinkToFit="1"/>
    </xf>
    <xf numFmtId="9" fontId="52" fillId="5" borderId="255" applyAlignment="1" pivotButton="0" quotePrefix="0" xfId="7">
      <alignment horizontal="center" vertical="center" wrapText="1" shrinkToFit="1"/>
    </xf>
    <xf numFmtId="9" fontId="52" fillId="5" borderId="239" applyAlignment="1" pivotButton="0" quotePrefix="0" xfId="7">
      <alignment horizontal="center" vertical="center" wrapText="1" shrinkToFit="1"/>
    </xf>
    <xf numFmtId="9" fontId="52" fillId="5" borderId="240" applyAlignment="1" pivotButton="0" quotePrefix="0" xfId="7">
      <alignment horizontal="center" vertical="center" wrapText="1" shrinkToFit="1"/>
    </xf>
    <xf numFmtId="3" fontId="12" fillId="10" borderId="13" applyAlignment="1" pivotButton="0" quotePrefix="0" xfId="0">
      <alignment horizontal="center" vertical="center" wrapText="1"/>
    </xf>
    <xf numFmtId="3" fontId="12" fillId="10" borderId="11" applyAlignment="1" pivotButton="0" quotePrefix="0" xfId="0">
      <alignment horizontal="center" vertical="center" wrapText="1"/>
    </xf>
    <xf numFmtId="3" fontId="12" fillId="10" borderId="61" applyAlignment="1" pivotButton="0" quotePrefix="0" xfId="0">
      <alignment horizontal="center" vertical="center" wrapText="1"/>
    </xf>
    <xf numFmtId="3" fontId="12" fillId="10" borderId="63" applyAlignment="1" pivotButton="0" quotePrefix="0" xfId="0">
      <alignment horizontal="center" vertical="center" wrapText="1"/>
    </xf>
    <xf numFmtId="49" fontId="13" fillId="9" borderId="55" applyAlignment="1" pivotButton="0" quotePrefix="0" xfId="0">
      <alignment horizontal="center" vertical="center" wrapText="1"/>
    </xf>
    <xf numFmtId="49" fontId="13" fillId="9" borderId="53" applyAlignment="1" pivotButton="0" quotePrefix="0" xfId="0">
      <alignment horizontal="center" vertical="center" wrapText="1"/>
    </xf>
    <xf numFmtId="49" fontId="13" fillId="9" borderId="54" applyAlignment="1" pivotButton="0" quotePrefix="0" xfId="0">
      <alignment horizontal="center" vertical="center" wrapText="1"/>
    </xf>
    <xf numFmtId="3" fontId="12" fillId="10" borderId="20" applyAlignment="1" pivotButton="0" quotePrefix="0" xfId="0">
      <alignment horizontal="center" vertical="center" wrapText="1"/>
    </xf>
    <xf numFmtId="3" fontId="23" fillId="4" borderId="63" applyAlignment="1" pivotButton="0" quotePrefix="0" xfId="0">
      <alignment horizontal="center" vertical="center" wrapText="1"/>
    </xf>
    <xf numFmtId="3" fontId="23" fillId="4" borderId="20" applyAlignment="1" pivotButton="0" quotePrefix="0" xfId="0">
      <alignment horizontal="center" vertical="center" wrapText="1"/>
    </xf>
    <xf numFmtId="3" fontId="12" fillId="10" borderId="59" applyAlignment="1" pivotButton="0" quotePrefix="0" xfId="0">
      <alignment horizontal="center" vertical="center" wrapText="1"/>
    </xf>
    <xf numFmtId="49" fontId="13" fillId="2" borderId="55" applyAlignment="1" pivotButton="0" quotePrefix="0" xfId="0">
      <alignment horizontal="center" vertical="center"/>
    </xf>
    <xf numFmtId="49" fontId="13" fillId="2" borderId="53" applyAlignment="1" pivotButton="0" quotePrefix="0" xfId="0">
      <alignment horizontal="center" vertical="center"/>
    </xf>
    <xf numFmtId="3" fontId="19" fillId="3" borderId="42" applyAlignment="1" pivotButton="0" quotePrefix="0" xfId="0">
      <alignment horizontal="center" vertical="center" wrapText="1"/>
    </xf>
    <xf numFmtId="3" fontId="19" fillId="3" borderId="5" applyAlignment="1" pivotButton="0" quotePrefix="0" xfId="0">
      <alignment horizontal="center" vertical="center" wrapText="1"/>
    </xf>
    <xf numFmtId="3" fontId="19" fillId="3" borderId="9" applyAlignment="1" pivotButton="0" quotePrefix="0" xfId="0">
      <alignment horizontal="center" vertical="center" wrapText="1"/>
    </xf>
    <xf numFmtId="49" fontId="19" fillId="3" borderId="42" applyAlignment="1" pivotButton="0" quotePrefix="0" xfId="0">
      <alignment horizontal="center" vertical="center" wrapText="1"/>
    </xf>
    <xf numFmtId="49" fontId="19" fillId="3" borderId="5" applyAlignment="1" pivotButton="0" quotePrefix="0" xfId="0">
      <alignment horizontal="center" vertical="center" wrapText="1"/>
    </xf>
    <xf numFmtId="3" fontId="21" fillId="3" borderId="42" applyAlignment="1" pivotButton="0" quotePrefix="0" xfId="0">
      <alignment horizontal="center" vertical="center" wrapText="1"/>
    </xf>
    <xf numFmtId="3" fontId="21" fillId="3" borderId="5" applyAlignment="1" pivotButton="0" quotePrefix="0" xfId="0">
      <alignment horizontal="center" vertical="center" wrapText="1"/>
    </xf>
    <xf numFmtId="3" fontId="21" fillId="3" borderId="9" applyAlignment="1" pivotButton="0" quotePrefix="0" xfId="0">
      <alignment horizontal="center" vertical="center" wrapText="1"/>
    </xf>
    <xf numFmtId="3" fontId="19" fillId="5" borderId="42" applyAlignment="1" pivotButton="0" quotePrefix="0" xfId="0">
      <alignment horizontal="center" vertical="center" wrapText="1"/>
    </xf>
    <xf numFmtId="3" fontId="19" fillId="5" borderId="5" applyAlignment="1" pivotButton="0" quotePrefix="0" xfId="0">
      <alignment horizontal="center" vertical="center" wrapText="1"/>
    </xf>
    <xf numFmtId="3" fontId="19" fillId="5" borderId="9" applyAlignment="1" pivotButton="0" quotePrefix="0" xfId="0">
      <alignment horizontal="center" vertical="center" wrapText="1"/>
    </xf>
    <xf numFmtId="3" fontId="19" fillId="3" borderId="7" applyAlignment="1" pivotButton="0" quotePrefix="0" xfId="0">
      <alignment horizontal="center" vertical="center" wrapText="1"/>
    </xf>
    <xf numFmtId="3" fontId="19" fillId="3" borderId="10" applyAlignment="1" pivotButton="0" quotePrefix="0" xfId="0">
      <alignment horizontal="center" vertical="center" wrapText="1"/>
    </xf>
    <xf numFmtId="49" fontId="13" fillId="2" borderId="55" applyAlignment="1" pivotButton="0" quotePrefix="0" xfId="0">
      <alignment horizontal="center" vertical="center" wrapText="1"/>
    </xf>
    <xf numFmtId="49" fontId="13" fillId="2" borderId="53" applyAlignment="1" pivotButton="0" quotePrefix="0" xfId="0">
      <alignment horizontal="center" vertical="center" wrapText="1"/>
    </xf>
    <xf numFmtId="49" fontId="13" fillId="2" borderId="54" applyAlignment="1" pivotButton="0" quotePrefix="0" xfId="0">
      <alignment horizontal="center" vertical="center" wrapText="1"/>
    </xf>
    <xf numFmtId="168" fontId="20" fillId="5" borderId="81" applyAlignment="1" pivotButton="0" quotePrefix="0" xfId="0">
      <alignment horizontal="center" vertical="center" wrapText="1"/>
    </xf>
    <xf numFmtId="168" fontId="20" fillId="5" borderId="44" applyAlignment="1" pivotButton="0" quotePrefix="0" xfId="0">
      <alignment horizontal="center" vertical="center" wrapText="1"/>
    </xf>
    <xf numFmtId="3" fontId="12" fillId="10" borderId="87" applyAlignment="1" pivotButton="0" quotePrefix="0" xfId="0">
      <alignment horizontal="center" vertical="center" wrapText="1"/>
    </xf>
    <xf numFmtId="3" fontId="12" fillId="10" borderId="88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164" fontId="5" fillId="2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49" fontId="19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wrapText="1"/>
    </xf>
    <xf numFmtId="165" fontId="4" fillId="0" borderId="0" applyAlignment="1" pivotButton="0" quotePrefix="0" xfId="0">
      <alignment horizontal="right" vertical="center" wrapText="1"/>
    </xf>
    <xf numFmtId="49" fontId="19" fillId="4" borderId="42" applyAlignment="1" pivotButton="0" quotePrefix="0" xfId="0">
      <alignment horizontal="center" vertical="center" wrapText="1"/>
    </xf>
    <xf numFmtId="49" fontId="19" fillId="4" borderId="5" applyAlignment="1" pivotButton="0" quotePrefix="0" xfId="0">
      <alignment horizontal="center" vertical="center" wrapText="1"/>
    </xf>
    <xf numFmtId="49" fontId="19" fillId="4" borderId="9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49" fontId="19" fillId="3" borderId="41" applyAlignment="1" pivotButton="0" quotePrefix="0" xfId="0">
      <alignment horizontal="center" vertical="center" wrapText="1"/>
    </xf>
    <xf numFmtId="49" fontId="19" fillId="3" borderId="4" applyAlignment="1" pivotButton="0" quotePrefix="0" xfId="0">
      <alignment horizontal="center" vertical="center" wrapText="1"/>
    </xf>
    <xf numFmtId="49" fontId="19" fillId="3" borderId="8" applyAlignment="1" pivotButton="0" quotePrefix="0" xfId="0">
      <alignment horizontal="center" vertical="center" wrapText="1"/>
    </xf>
    <xf numFmtId="49" fontId="19" fillId="3" borderId="40" applyAlignment="1" pivotButton="0" quotePrefix="0" xfId="0">
      <alignment horizontal="center" vertical="center" wrapText="1"/>
    </xf>
    <xf numFmtId="49" fontId="19" fillId="3" borderId="47" applyAlignment="1" pivotButton="0" quotePrefix="0" xfId="0">
      <alignment horizontal="center" vertical="center" wrapText="1"/>
    </xf>
    <xf numFmtId="49" fontId="19" fillId="3" borderId="49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49" fontId="19" fillId="12" borderId="42" applyAlignment="1" pivotButton="0" quotePrefix="0" xfId="0">
      <alignment horizontal="center" vertical="center" wrapText="1"/>
    </xf>
    <xf numFmtId="49" fontId="19" fillId="12" borderId="5" applyAlignment="1" pivotButton="0" quotePrefix="0" xfId="0">
      <alignment horizontal="center" vertical="center" wrapText="1"/>
    </xf>
    <xf numFmtId="49" fontId="19" fillId="12" borderId="9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left" vertical="center" wrapText="1"/>
    </xf>
    <xf numFmtId="165" fontId="4" fillId="2" borderId="57" applyAlignment="1" pivotButton="0" quotePrefix="0" xfId="0">
      <alignment horizontal="left" vertical="center" wrapText="1"/>
    </xf>
    <xf numFmtId="49" fontId="19" fillId="13" borderId="43" applyAlignment="1" pivotButton="0" quotePrefix="0" xfId="0">
      <alignment horizontal="center" vertical="center" wrapText="1"/>
    </xf>
    <xf numFmtId="49" fontId="19" fillId="13" borderId="6" applyAlignment="1" pivotButton="0" quotePrefix="0" xfId="0">
      <alignment horizontal="center" vertical="center" wrapText="1"/>
    </xf>
    <xf numFmtId="49" fontId="19" fillId="13" borderId="27" applyAlignment="1" pivotButton="0" quotePrefix="0" xfId="0">
      <alignment horizontal="center" vertical="center" wrapText="1"/>
    </xf>
    <xf numFmtId="49" fontId="13" fillId="15" borderId="55" applyAlignment="1" pivotButton="0" quotePrefix="0" xfId="0">
      <alignment horizontal="center" vertical="center" wrapText="1"/>
    </xf>
    <xf numFmtId="49" fontId="13" fillId="15" borderId="53" applyAlignment="1" pivotButton="0" quotePrefix="0" xfId="0">
      <alignment horizontal="center" vertical="center" wrapText="1"/>
    </xf>
    <xf numFmtId="49" fontId="13" fillId="15" borderId="54" applyAlignment="1" pivotButton="0" quotePrefix="0" xfId="0">
      <alignment horizontal="center" vertical="center" wrapText="1"/>
    </xf>
    <xf numFmtId="3" fontId="12" fillId="10" borderId="13" applyAlignment="1" pivotButton="0" quotePrefix="0" xfId="0">
      <alignment horizontal="center" vertical="center"/>
    </xf>
    <xf numFmtId="3" fontId="12" fillId="10" borderId="11" applyAlignment="1" pivotButton="0" quotePrefix="0" xfId="0">
      <alignment horizontal="center" vertical="center"/>
    </xf>
    <xf numFmtId="3" fontId="12" fillId="10" borderId="20" applyAlignment="1" pivotButton="0" quotePrefix="0" xfId="0">
      <alignment horizontal="center" vertical="center"/>
    </xf>
    <xf numFmtId="3" fontId="11" fillId="10" borderId="13" applyAlignment="1" pivotButton="0" quotePrefix="0" xfId="0">
      <alignment horizontal="center" vertical="center"/>
    </xf>
    <xf numFmtId="3" fontId="11" fillId="10" borderId="11" applyAlignment="1" pivotButton="0" quotePrefix="0" xfId="0">
      <alignment horizontal="center" vertical="center"/>
    </xf>
    <xf numFmtId="3" fontId="19" fillId="3" borderId="46" applyAlignment="1" pivotButton="0" quotePrefix="0" xfId="0">
      <alignment horizontal="center" vertical="center" wrapText="1"/>
    </xf>
    <xf numFmtId="3" fontId="19" fillId="3" borderId="48" applyAlignment="1" pivotButton="0" quotePrefix="0" xfId="0">
      <alignment horizontal="center" vertical="center" wrapText="1"/>
    </xf>
    <xf numFmtId="3" fontId="19" fillId="3" borderId="50" applyAlignment="1" pivotButton="0" quotePrefix="0" xfId="0">
      <alignment horizontal="center" vertical="center" wrapText="1"/>
    </xf>
    <xf numFmtId="0" fontId="27" fillId="4" borderId="110" applyAlignment="1" pivotButton="0" quotePrefix="0" xfId="0">
      <alignment horizontal="center" vertical="center" wrapText="1"/>
    </xf>
    <xf numFmtId="0" fontId="27" fillId="4" borderId="114" applyAlignment="1" pivotButton="0" quotePrefix="0" xfId="0">
      <alignment horizontal="center" vertical="center" wrapText="1"/>
    </xf>
    <xf numFmtId="0" fontId="27" fillId="4" borderId="119" applyAlignment="1" pivotButton="0" quotePrefix="0" xfId="0">
      <alignment horizontal="center" vertical="center" wrapText="1"/>
    </xf>
    <xf numFmtId="0" fontId="28" fillId="2" borderId="102" applyAlignment="1" pivotButton="0" quotePrefix="0" xfId="0">
      <alignment horizontal="center" vertical="center"/>
    </xf>
    <xf numFmtId="0" fontId="28" fillId="2" borderId="103" applyAlignment="1" pivotButton="0" quotePrefix="0" xfId="0">
      <alignment horizontal="center" vertical="center"/>
    </xf>
    <xf numFmtId="0" fontId="28" fillId="2" borderId="5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169" fontId="28" fillId="2" borderId="57" applyAlignment="1" pivotButton="0" quotePrefix="0" xfId="0">
      <alignment horizontal="left"/>
    </xf>
    <xf numFmtId="0" fontId="27" fillId="4" borderId="104" applyAlignment="1" pivotButton="0" quotePrefix="0" xfId="0">
      <alignment horizontal="center" vertical="center" wrapText="1"/>
    </xf>
    <xf numFmtId="0" fontId="27" fillId="4" borderId="111" applyAlignment="1" pivotButton="0" quotePrefix="0" xfId="0">
      <alignment horizontal="center" vertical="center" wrapText="1"/>
    </xf>
    <xf numFmtId="0" fontId="27" fillId="4" borderId="115" applyAlignment="1" pivotButton="0" quotePrefix="0" xfId="0">
      <alignment horizontal="center" vertical="center" wrapText="1"/>
    </xf>
    <xf numFmtId="0" fontId="27" fillId="4" borderId="105" applyAlignment="1" pivotButton="0" quotePrefix="0" xfId="0">
      <alignment horizontal="center" vertical="center" wrapText="1"/>
    </xf>
    <xf numFmtId="0" fontId="27" fillId="4" borderId="24" applyAlignment="1" pivotButton="0" quotePrefix="0" xfId="0">
      <alignment horizontal="center" vertical="center" wrapText="1"/>
    </xf>
    <xf numFmtId="0" fontId="27" fillId="4" borderId="116" applyAlignment="1" pivotButton="0" quotePrefix="0" xfId="0">
      <alignment horizontal="center" vertical="center" wrapText="1"/>
    </xf>
    <xf numFmtId="16" fontId="27" fillId="4" borderId="106" applyAlignment="1" pivotButton="0" quotePrefix="0" xfId="0">
      <alignment horizontal="center" vertical="center" wrapText="1"/>
    </xf>
    <xf numFmtId="0" fontId="27" fillId="4" borderId="108" applyAlignment="1" pivotButton="0" quotePrefix="0" xfId="0">
      <alignment horizontal="center" vertical="center" wrapText="1"/>
    </xf>
    <xf numFmtId="0" fontId="27" fillId="4" borderId="112" applyAlignment="1" pivotButton="0" quotePrefix="0" xfId="0">
      <alignment horizontal="center" vertical="center" wrapText="1"/>
    </xf>
    <xf numFmtId="0" fontId="27" fillId="4" borderId="117" applyAlignment="1" pivotButton="0" quotePrefix="0" xfId="0">
      <alignment horizontal="center" vertical="center" wrapText="1"/>
    </xf>
    <xf numFmtId="0" fontId="29" fillId="4" borderId="109" applyAlignment="1" pivotButton="0" quotePrefix="0" xfId="0">
      <alignment horizontal="center" vertical="center" wrapText="1"/>
    </xf>
    <xf numFmtId="0" fontId="29" fillId="4" borderId="113" applyAlignment="1" pivotButton="0" quotePrefix="0" xfId="0">
      <alignment horizontal="center" vertical="center" wrapText="1"/>
    </xf>
    <xf numFmtId="0" fontId="29" fillId="4" borderId="118" applyAlignment="1" pivotButton="0" quotePrefix="0" xfId="0">
      <alignment horizontal="center" vertical="center" wrapText="1"/>
    </xf>
    <xf numFmtId="0" fontId="30" fillId="0" borderId="133" applyAlignment="1" pivotButton="0" quotePrefix="0" xfId="0">
      <alignment horizontal="center" vertical="center"/>
    </xf>
    <xf numFmtId="0" fontId="30" fillId="0" borderId="120" applyAlignment="1" pivotButton="0" quotePrefix="0" xfId="0">
      <alignment horizontal="center" vertical="center"/>
    </xf>
    <xf numFmtId="0" fontId="30" fillId="0" borderId="135" applyAlignment="1" pivotButton="0" quotePrefix="0" xfId="0">
      <alignment horizontal="center" vertical="center"/>
    </xf>
    <xf numFmtId="0" fontId="27" fillId="4" borderId="160" applyAlignment="1" pivotButton="0" quotePrefix="0" xfId="0">
      <alignment horizontal="center" vertical="center"/>
    </xf>
    <xf numFmtId="0" fontId="27" fillId="4" borderId="161" applyAlignment="1" pivotButton="0" quotePrefix="0" xfId="0">
      <alignment horizontal="center" vertical="center"/>
    </xf>
    <xf numFmtId="0" fontId="27" fillId="4" borderId="162" applyAlignment="1" pivotButton="0" quotePrefix="0" xfId="0">
      <alignment horizontal="center" vertical="center"/>
    </xf>
    <xf numFmtId="0" fontId="30" fillId="0" borderId="133" applyAlignment="1" pivotButton="0" quotePrefix="0" xfId="0">
      <alignment horizontal="center" vertical="center" wrapText="1"/>
    </xf>
    <xf numFmtId="0" fontId="30" fillId="0" borderId="120" applyAlignment="1" pivotButton="0" quotePrefix="0" xfId="0">
      <alignment horizontal="center" vertical="center" wrapText="1"/>
    </xf>
    <xf numFmtId="0" fontId="30" fillId="0" borderId="135" applyAlignment="1" pivotButton="0" quotePrefix="0" xfId="0">
      <alignment horizontal="center" vertical="center" wrapText="1"/>
    </xf>
    <xf numFmtId="0" fontId="32" fillId="0" borderId="165" applyAlignment="1" pivotButton="0" quotePrefix="0" xfId="0">
      <alignment horizontal="center" vertical="center"/>
    </xf>
    <xf numFmtId="0" fontId="34" fillId="2" borderId="165" applyAlignment="1" pivotButton="0" quotePrefix="0" xfId="0">
      <alignment horizontal="center" vertical="center"/>
    </xf>
    <xf numFmtId="49" fontId="65" fillId="33" borderId="68" applyAlignment="1" pivotButton="0" quotePrefix="0" xfId="0">
      <alignment horizontal="center" vertical="center"/>
    </xf>
    <xf numFmtId="49" fontId="68" fillId="33" borderId="284" applyAlignment="1" pivotButton="0" quotePrefix="0" xfId="0">
      <alignment horizontal="center" vertical="center"/>
    </xf>
    <xf numFmtId="49" fontId="68" fillId="33" borderId="286" applyAlignment="1" pivotButton="0" quotePrefix="0" xfId="0">
      <alignment horizontal="center" vertical="center"/>
    </xf>
    <xf numFmtId="49" fontId="68" fillId="33" borderId="299" applyAlignment="1" pivotButton="0" quotePrefix="0" xfId="0">
      <alignment horizontal="center" vertical="center"/>
    </xf>
    <xf numFmtId="0" fontId="27" fillId="0" borderId="165" applyAlignment="1" pivotButton="0" quotePrefix="0" xfId="0">
      <alignment horizontal="center" vertical="center"/>
    </xf>
    <xf numFmtId="167" fontId="40" fillId="9" borderId="311" applyAlignment="1" pivotButton="0" quotePrefix="0" xfId="0">
      <alignment horizontal="center" vertical="center"/>
    </xf>
    <xf numFmtId="167" fontId="40" fillId="9" borderId="313" applyAlignment="1" pivotButton="0" quotePrefix="0" xfId="0">
      <alignment horizontal="center" vertical="center"/>
    </xf>
    <xf numFmtId="167" fontId="40" fillId="9" borderId="315" applyAlignment="1" pivotButton="0" quotePrefix="0" xfId="0">
      <alignment horizontal="center" vertical="center"/>
    </xf>
    <xf numFmtId="49" fontId="68" fillId="33" borderId="296" applyAlignment="1" pivotButton="0" quotePrefix="0" xfId="0">
      <alignment horizontal="center" vertical="center"/>
    </xf>
    <xf numFmtId="49" fontId="68" fillId="33" borderId="165" applyAlignment="1" pivotButton="0" quotePrefix="0" xfId="0">
      <alignment horizontal="center" vertical="center"/>
    </xf>
    <xf numFmtId="49" fontId="68" fillId="33" borderId="303" applyAlignment="1" pivotButton="0" quotePrefix="0" xfId="0">
      <alignment horizontal="center" vertical="center"/>
    </xf>
    <xf numFmtId="49" fontId="66" fillId="3" borderId="291" applyAlignment="1" pivotButton="0" quotePrefix="0" xfId="0">
      <alignment horizontal="center" vertical="center"/>
    </xf>
    <xf numFmtId="49" fontId="66" fillId="3" borderId="295" applyAlignment="1" pivotButton="0" quotePrefix="0" xfId="0">
      <alignment horizontal="center" vertical="center"/>
    </xf>
    <xf numFmtId="49" fontId="68" fillId="32" borderId="291" applyAlignment="1" pivotButton="0" quotePrefix="0" xfId="0">
      <alignment horizontal="center" vertical="center"/>
    </xf>
    <xf numFmtId="49" fontId="68" fillId="32" borderId="295" applyAlignment="1" pivotButton="0" quotePrefix="0" xfId="0">
      <alignment horizontal="center" vertical="center"/>
    </xf>
    <xf numFmtId="0" fontId="70" fillId="35" borderId="24" applyAlignment="1" pivotButton="0" quotePrefix="0" xfId="7">
      <alignment horizontal="center" vertical="center" wrapText="1"/>
    </xf>
    <xf numFmtId="0" fontId="0" fillId="35" borderId="24" applyAlignment="1" pivotButton="0" quotePrefix="0" xfId="0">
      <alignment horizontal="center"/>
    </xf>
    <xf numFmtId="0" fontId="71" fillId="2" borderId="180" applyAlignment="1" pivotButton="0" quotePrefix="0" xfId="7">
      <alignment horizontal="center" vertical="center"/>
    </xf>
    <xf numFmtId="0" fontId="71" fillId="2" borderId="176" applyAlignment="1" pivotButton="0" quotePrefix="0" xfId="7">
      <alignment horizontal="center" vertical="center"/>
    </xf>
    <xf numFmtId="0" fontId="71" fillId="2" borderId="175" applyAlignment="1" pivotButton="0" quotePrefix="0" xfId="7">
      <alignment horizontal="center" vertical="center"/>
    </xf>
    <xf numFmtId="173" fontId="71" fillId="5" borderId="180" applyAlignment="1" pivotButton="0" quotePrefix="0" xfId="7">
      <alignment horizontal="center" vertical="center"/>
    </xf>
    <xf numFmtId="173" fontId="71" fillId="5" borderId="176" applyAlignment="1" pivotButton="0" quotePrefix="0" xfId="7">
      <alignment horizontal="center" vertical="center"/>
    </xf>
    <xf numFmtId="173" fontId="71" fillId="5" borderId="175" applyAlignment="1" pivotButton="0" quotePrefix="0" xfId="7">
      <alignment horizontal="center" vertical="center"/>
    </xf>
    <xf numFmtId="173" fontId="71" fillId="2" borderId="180" applyAlignment="1" pivotButton="0" quotePrefix="0" xfId="7">
      <alignment horizontal="center" vertical="center"/>
    </xf>
    <xf numFmtId="173" fontId="71" fillId="2" borderId="176" applyAlignment="1" pivotButton="0" quotePrefix="0" xfId="7">
      <alignment horizontal="center" vertical="center"/>
    </xf>
    <xf numFmtId="173" fontId="71" fillId="2" borderId="175" applyAlignment="1" pivotButton="0" quotePrefix="0" xfId="7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70" fillId="11" borderId="24" applyAlignment="1" pivotButton="0" quotePrefix="0" xfId="7">
      <alignment horizontal="center" vertical="center"/>
    </xf>
    <xf numFmtId="9" fontId="70" fillId="11" borderId="24" applyAlignment="1" pivotButton="0" quotePrefix="0" xfId="7">
      <alignment horizontal="center" vertical="center"/>
    </xf>
    <xf numFmtId="180" fontId="70" fillId="11" borderId="112" applyAlignment="1" pivotButton="0" quotePrefix="0" xfId="7">
      <alignment horizontal="center" vertical="center"/>
    </xf>
    <xf numFmtId="180" fontId="70" fillId="11" borderId="260" applyAlignment="1" pivotButton="0" quotePrefix="0" xfId="7">
      <alignment horizontal="center" vertical="center"/>
    </xf>
    <xf numFmtId="180" fontId="70" fillId="11" borderId="177" applyAlignment="1" pivotButton="0" quotePrefix="0" xfId="7">
      <alignment horizontal="center" vertical="center"/>
    </xf>
    <xf numFmtId="180" fontId="70" fillId="11" borderId="180" applyAlignment="1" pivotButton="0" quotePrefix="0" xfId="7">
      <alignment horizontal="center" vertical="center" wrapText="1"/>
    </xf>
    <xf numFmtId="180" fontId="70" fillId="11" borderId="175" applyAlignment="1" pivotButton="0" quotePrefix="0" xfId="7">
      <alignment horizontal="center" vertical="center" wrapText="1"/>
    </xf>
    <xf numFmtId="180" fontId="70" fillId="11" borderId="180" applyAlignment="1" pivotButton="0" quotePrefix="0" xfId="7">
      <alignment horizontal="center" vertical="center"/>
    </xf>
    <xf numFmtId="180" fontId="70" fillId="11" borderId="175" applyAlignment="1" pivotButton="0" quotePrefix="0" xfId="7">
      <alignment horizontal="center" vertical="center"/>
    </xf>
    <xf numFmtId="180" fontId="55" fillId="34" borderId="24" applyAlignment="1" pivotButton="0" quotePrefix="0" xfId="7">
      <alignment horizontal="center" vertical="center" wrapText="1"/>
    </xf>
    <xf numFmtId="164" fontId="5" fillId="2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 wrapText="1"/>
    </xf>
    <xf numFmtId="165" fontId="4" fillId="2" borderId="57" applyAlignment="1" pivotButton="0" quotePrefix="0" xfId="0">
      <alignment horizontal="left" vertical="center" wrapText="1"/>
    </xf>
    <xf numFmtId="0" fontId="0" fillId="0" borderId="57" pivotButton="0" quotePrefix="0" xfId="0"/>
    <xf numFmtId="49" fontId="19" fillId="3" borderId="412" applyAlignment="1" pivotButton="0" quotePrefix="0" xfId="0">
      <alignment horizontal="center" vertical="center" wrapText="1"/>
    </xf>
    <xf numFmtId="49" fontId="19" fillId="3" borderId="411" applyAlignment="1" pivotButton="0" quotePrefix="0" xfId="0">
      <alignment horizontal="center" vertical="center" wrapText="1"/>
    </xf>
    <xf numFmtId="49" fontId="19" fillId="3" borderId="407" applyAlignment="1" pivotButton="0" quotePrefix="0" xfId="0">
      <alignment horizontal="center" vertical="center" wrapText="1"/>
    </xf>
    <xf numFmtId="49" fontId="19" fillId="4" borderId="407" applyAlignment="1" pivotButton="0" quotePrefix="0" xfId="0">
      <alignment horizontal="center" vertical="center" wrapText="1"/>
    </xf>
    <xf numFmtId="49" fontId="19" fillId="12" borderId="407" applyAlignment="1" pivotButton="0" quotePrefix="0" xfId="0">
      <alignment horizontal="center" vertical="center" wrapText="1"/>
    </xf>
    <xf numFmtId="49" fontId="19" fillId="13" borderId="81" applyAlignment="1" pivotButton="0" quotePrefix="0" xfId="0">
      <alignment horizontal="center" vertical="center" wrapText="1"/>
    </xf>
    <xf numFmtId="168" fontId="20" fillId="5" borderId="81" applyAlignment="1" pivotButton="0" quotePrefix="0" xfId="0">
      <alignment horizontal="center" vertical="center" wrapText="1"/>
    </xf>
    <xf numFmtId="0" fontId="0" fillId="0" borderId="44" pivotButton="0" quotePrefix="0" xfId="0"/>
    <xf numFmtId="168" fontId="20" fillId="5" borderId="44" applyAlignment="1" pivotButton="0" quotePrefix="0" xfId="0">
      <alignment vertical="center" wrapText="1"/>
    </xf>
    <xf numFmtId="168" fontId="20" fillId="5" borderId="45" applyAlignment="1" pivotButton="0" quotePrefix="0" xfId="0">
      <alignment vertical="center" wrapText="1"/>
    </xf>
    <xf numFmtId="3" fontId="19" fillId="3" borderId="407" applyAlignment="1" pivotButton="0" quotePrefix="0" xfId="0">
      <alignment horizontal="center" vertical="center" wrapText="1"/>
    </xf>
    <xf numFmtId="3" fontId="19" fillId="5" borderId="407" applyAlignment="1" pivotButton="0" quotePrefix="0" xfId="0">
      <alignment horizontal="center" vertical="center" wrapText="1"/>
    </xf>
    <xf numFmtId="3" fontId="21" fillId="3" borderId="407" applyAlignment="1" pivotButton="0" quotePrefix="0" xfId="0">
      <alignment horizontal="center" vertical="center" wrapText="1"/>
    </xf>
    <xf numFmtId="3" fontId="19" fillId="3" borderId="406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7" pivotButton="0" quotePrefix="0" xfId="0"/>
    <xf numFmtId="0" fontId="0" fillId="0" borderId="50" pivotButton="0" quotePrefix="0" xfId="0"/>
    <xf numFmtId="166" fontId="6" fillId="2" borderId="26" applyAlignment="1" pivotButton="0" quotePrefix="0" xfId="0">
      <alignment horizontal="center" vertical="center" wrapText="1"/>
    </xf>
    <xf numFmtId="167" fontId="6" fillId="2" borderId="22" applyAlignment="1" pivotButton="0" quotePrefix="0" xfId="0">
      <alignment horizontal="center" vertical="center" wrapText="1"/>
    </xf>
    <xf numFmtId="0" fontId="0" fillId="0" borderId="53" pivotButton="0" quotePrefix="0" xfId="0"/>
    <xf numFmtId="166" fontId="6" fillId="2" borderId="30" applyAlignment="1" pivotButton="0" quotePrefix="0" xfId="0">
      <alignment horizontal="center" vertical="center" wrapText="1"/>
    </xf>
    <xf numFmtId="167" fontId="6" fillId="2" borderId="18" applyAlignment="1" pivotButton="0" quotePrefix="0" xfId="0">
      <alignment horizontal="center" vertical="center" wrapText="1"/>
    </xf>
    <xf numFmtId="0" fontId="0" fillId="0" borderId="20" pivotButton="0" quotePrefix="0" xfId="0"/>
    <xf numFmtId="166" fontId="6" fillId="2" borderId="36" applyAlignment="1" pivotButton="0" quotePrefix="0" xfId="0">
      <alignment horizontal="center" vertical="center" wrapText="1"/>
    </xf>
    <xf numFmtId="167" fontId="6" fillId="2" borderId="15" applyAlignment="1" pivotButton="0" quotePrefix="0" xfId="0">
      <alignment horizontal="center" vertical="center" wrapText="1"/>
    </xf>
    <xf numFmtId="3" fontId="12" fillId="10" borderId="408" applyAlignment="1" pivotButton="0" quotePrefix="0" xfId="0">
      <alignment horizontal="center" vertical="center" wrapText="1"/>
    </xf>
    <xf numFmtId="0" fontId="0" fillId="0" borderId="11" pivotButton="0" quotePrefix="0" xfId="0"/>
    <xf numFmtId="166" fontId="6" fillId="2" borderId="33" applyAlignment="1" pivotButton="0" quotePrefix="0" xfId="0">
      <alignment horizontal="center" vertical="center" wrapText="1"/>
    </xf>
    <xf numFmtId="167" fontId="6" fillId="2" borderId="34" applyAlignment="1" pivotButton="0" quotePrefix="0" xfId="0">
      <alignment horizontal="center" vertical="center" wrapText="1"/>
    </xf>
    <xf numFmtId="167" fontId="6" fillId="16" borderId="18" applyAlignment="1" pivotButton="0" quotePrefix="0" xfId="0">
      <alignment horizontal="center" vertical="center" wrapText="1"/>
    </xf>
    <xf numFmtId="3" fontId="12" fillId="10" borderId="409" applyAlignment="1" pivotButton="0" quotePrefix="0" xfId="0">
      <alignment horizontal="center" vertical="center" wrapText="1"/>
    </xf>
    <xf numFmtId="166" fontId="6" fillId="2" borderId="91" applyAlignment="1" pivotButton="0" quotePrefix="0" xfId="0">
      <alignment horizontal="center" vertical="center" wrapText="1"/>
    </xf>
    <xf numFmtId="167" fontId="6" fillId="2" borderId="92" applyAlignment="1" pivotButton="0" quotePrefix="0" xfId="0">
      <alignment horizontal="center" vertical="center" wrapText="1"/>
    </xf>
    <xf numFmtId="0" fontId="0" fillId="0" borderId="88" pivotButton="0" quotePrefix="0" xfId="0"/>
    <xf numFmtId="166" fontId="6" fillId="2" borderId="84" applyAlignment="1" pivotButton="0" quotePrefix="0" xfId="0">
      <alignment horizontal="center" vertical="center" wrapText="1"/>
    </xf>
    <xf numFmtId="167" fontId="6" fillId="2" borderId="85" applyAlignment="1" pivotButton="0" quotePrefix="0" xfId="0">
      <alignment horizontal="center" vertical="center" wrapText="1"/>
    </xf>
    <xf numFmtId="3" fontId="12" fillId="10" borderId="413" applyAlignment="1" pivotButton="0" quotePrefix="0" xfId="0">
      <alignment horizontal="center" vertical="center" wrapText="1"/>
    </xf>
    <xf numFmtId="166" fontId="6" fillId="2" borderId="0" applyAlignment="1" pivotButton="0" quotePrefix="0" xfId="0">
      <alignment horizontal="center" vertical="center" wrapText="1"/>
    </xf>
    <xf numFmtId="0" fontId="0" fillId="0" borderId="61" pivotButton="0" quotePrefix="0" xfId="0"/>
    <xf numFmtId="166" fontId="6" fillId="14" borderId="26" applyAlignment="1" pivotButton="0" quotePrefix="0" xfId="0">
      <alignment horizontal="center" vertical="center" wrapText="1"/>
    </xf>
    <xf numFmtId="167" fontId="6" fillId="2" borderId="7" applyAlignment="1" pivotButton="0" quotePrefix="0" xfId="0">
      <alignment horizontal="center" vertical="center" wrapText="1"/>
    </xf>
    <xf numFmtId="167" fontId="6" fillId="16" borderId="15" applyAlignment="1" pivotButton="0" quotePrefix="0" xfId="0">
      <alignment horizontal="center" vertical="center" wrapText="1"/>
    </xf>
    <xf numFmtId="167" fontId="6" fillId="16" borderId="92" applyAlignment="1" pivotButton="0" quotePrefix="0" xfId="0">
      <alignment horizontal="center" vertical="center" wrapText="1"/>
    </xf>
    <xf numFmtId="167" fontId="6" fillId="16" borderId="90" applyAlignment="1" pivotButton="0" quotePrefix="0" xfId="0">
      <alignment horizontal="center" vertical="center" wrapText="1"/>
    </xf>
    <xf numFmtId="49" fontId="13" fillId="2" borderId="410" applyAlignment="1" pivotButton="0" quotePrefix="0" xfId="0">
      <alignment horizontal="center" vertical="center" wrapText="1"/>
    </xf>
    <xf numFmtId="0" fontId="0" fillId="0" borderId="54" pivotButton="0" quotePrefix="0" xfId="0"/>
    <xf numFmtId="167" fontId="6" fillId="4" borderId="15" applyAlignment="1" pivotButton="0" quotePrefix="0" xfId="0">
      <alignment horizontal="center" vertical="center" wrapText="1"/>
    </xf>
    <xf numFmtId="3" fontId="23" fillId="4" borderId="62" applyAlignment="1" pivotButton="0" quotePrefix="0" xfId="0">
      <alignment horizontal="center" vertical="center" wrapText="1"/>
    </xf>
    <xf numFmtId="167" fontId="6" fillId="4" borderId="18" applyAlignment="1" pivotButton="0" quotePrefix="0" xfId="0">
      <alignment horizontal="center" vertical="center" wrapText="1"/>
    </xf>
    <xf numFmtId="167" fontId="6" fillId="2" borderId="65" applyAlignment="1" pivotButton="0" quotePrefix="0" xfId="0">
      <alignment horizontal="center" vertical="center" wrapText="1"/>
    </xf>
    <xf numFmtId="167" fontId="6" fillId="16" borderId="65" applyAlignment="1" pivotButton="0" quotePrefix="0" xfId="0">
      <alignment horizontal="center" vertical="center" wrapText="1"/>
    </xf>
    <xf numFmtId="166" fontId="6" fillId="2" borderId="96" applyAlignment="1" pivotButton="0" quotePrefix="0" xfId="0">
      <alignment horizontal="center" vertical="center" wrapText="1"/>
    </xf>
    <xf numFmtId="166" fontId="6" fillId="2" borderId="37" applyAlignment="1" pivotButton="0" quotePrefix="0" xfId="0">
      <alignment horizontal="center" vertical="center" wrapText="1"/>
    </xf>
    <xf numFmtId="167" fontId="6" fillId="2" borderId="38" applyAlignment="1" pivotButton="0" quotePrefix="0" xfId="0">
      <alignment horizontal="center" vertical="center" wrapText="1"/>
    </xf>
    <xf numFmtId="3" fontId="12" fillId="10" borderId="408" applyAlignment="1" pivotButton="0" quotePrefix="0" xfId="0">
      <alignment horizontal="center" vertical="center"/>
    </xf>
    <xf numFmtId="49" fontId="13" fillId="9" borderId="410" applyAlignment="1" pivotButton="0" quotePrefix="0" xfId="0">
      <alignment horizontal="center" vertical="center" wrapText="1"/>
    </xf>
    <xf numFmtId="49" fontId="13" fillId="15" borderId="410" applyAlignment="1" pivotButton="0" quotePrefix="0" xfId="0">
      <alignment horizontal="center" vertical="center" wrapText="1"/>
    </xf>
    <xf numFmtId="166" fontId="15" fillId="2" borderId="69" applyAlignment="1" pivotButton="0" quotePrefix="0" xfId="0">
      <alignment horizontal="center" vertical="center" wrapText="1"/>
    </xf>
    <xf numFmtId="166" fontId="9" fillId="11" borderId="76" applyAlignment="1" pivotButton="0" quotePrefix="0" xfId="0">
      <alignment horizontal="center" vertical="center" wrapText="1"/>
    </xf>
  </cellXfs>
  <cellStyles count="10">
    <cellStyle name="표준" xfId="0" builtinId="0"/>
    <cellStyle name="Normal 2" xfId="1"/>
    <cellStyle name="Normal 2 2" xfId="2"/>
    <cellStyle name="Normal 10" xfId="3"/>
    <cellStyle name="Normal 7 2 2 2 2 3 2 2 2" xfId="4"/>
    <cellStyle name="Normal 9 2 2 3 2 2 2 2 2 2" xfId="5"/>
    <cellStyle name="쉼표" xfId="6" builtinId="3"/>
    <cellStyle name="백분율" xfId="7" builtinId="5"/>
    <cellStyle name="Normal 17" xfId="8"/>
    <cellStyle name="Comma 4" xfId="9"/>
  </cellStyles>
  <dxfs count="150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theme="4" tint="0.3999755851924192"/>
    <outlinePr summaryBelow="1" summaryRight="1"/>
    <pageSetUpPr fitToPage="1"/>
  </sheetPr>
  <dimension ref="A1:AK126"/>
  <sheetViews>
    <sheetView showGridLines="0" view="pageBreakPreview" zoomScale="70" zoomScaleNormal="60" zoomScaleSheetLayoutView="70" workbookViewId="0">
      <pane xSplit="7" ySplit="10" topLeftCell="H11" activePane="bottomRight" state="frozen"/>
      <selection pane="topRight" activeCell="H1" sqref="H1"/>
      <selection pane="bottomLeft" activeCell="A11" sqref="A11"/>
      <selection pane="bottomRight" activeCell="H21" sqref="H21"/>
    </sheetView>
  </sheetViews>
  <sheetFormatPr baseColWidth="8" defaultColWidth="2.25" defaultRowHeight="17.25"/>
  <cols>
    <col width="8.75" bestFit="1" customWidth="1" style="170" min="1" max="1"/>
    <col width="12.75" bestFit="1" customWidth="1" style="4" min="2" max="2"/>
    <col width="9.75" bestFit="1" customWidth="1" style="4" min="3" max="3"/>
    <col width="52.75" bestFit="1" customWidth="1" style="4" min="4" max="4"/>
    <col width="16.625" bestFit="1" customWidth="1" style="4" min="5" max="5"/>
    <col width="25.625" bestFit="1" customWidth="1" style="4" min="6" max="6"/>
    <col width="19.875" bestFit="1" customWidth="1" style="4" min="7" max="7"/>
    <col width="21.75" bestFit="1" customWidth="1" style="4" min="8" max="8"/>
    <col width="12" bestFit="1" customWidth="1" style="4" min="9" max="9"/>
    <col width="7.75" bestFit="1" customWidth="1" style="4" min="10" max="10"/>
    <col width="5.75" bestFit="1" customWidth="1" style="4" min="11" max="11"/>
    <col hidden="1" width="8.75" customWidth="1" style="4" min="12" max="18"/>
    <col width="8.75" customWidth="1" style="4" min="19" max="20"/>
    <col width="9.75" bestFit="1" customWidth="1" style="4" min="21" max="21"/>
    <col width="9.25" customWidth="1" style="4" min="22" max="22"/>
    <col width="10.125" customWidth="1" style="4" min="23" max="23"/>
    <col width="10.75" customWidth="1" style="4" min="24" max="26"/>
    <col hidden="1" width="10.75" customWidth="1" style="4" min="27" max="27"/>
    <col hidden="1" width="12.75" customWidth="1" style="4" min="28" max="28"/>
    <col hidden="1" width="7.625" customWidth="1" style="4" min="29" max="29"/>
    <col hidden="1" width="3.75" customWidth="1" style="4" min="30" max="30"/>
    <col width="13" bestFit="1" customWidth="1" style="4" min="31" max="31"/>
    <col width="12.75" bestFit="1" customWidth="1" style="4" min="32" max="32"/>
    <col width="27.75" customWidth="1" style="171" min="33" max="33"/>
    <col width="15.125" customWidth="1" style="4" min="34" max="34"/>
    <col width="14.125" customWidth="1" style="4" min="35" max="35"/>
    <col width="15.875" customWidth="1" style="4" min="36" max="36"/>
    <col width="16.125" customWidth="1" style="4" min="37" max="37"/>
    <col width="6.25" customWidth="1" style="4" min="38" max="40"/>
    <col width="2.25" customWidth="1" style="4" min="41" max="16384"/>
  </cols>
  <sheetData>
    <row r="1">
      <c r="A1" s="1599" t="inlineStr">
        <is>
          <t>BALANCE IP PRODUCTION (AFTER SCAN UV)</t>
        </is>
      </c>
      <c r="E1" s="1706" t="n"/>
      <c r="G1" s="1707" t="n"/>
      <c r="H1" s="1707" t="n"/>
      <c r="I1" s="1706" t="n"/>
      <c r="J1" s="1706" t="n"/>
      <c r="K1" s="1706" t="n"/>
      <c r="L1" s="1706" t="n"/>
      <c r="M1" s="1706" t="n"/>
      <c r="N1" s="1706" t="n"/>
      <c r="O1" s="1706" t="n"/>
      <c r="P1" s="1706" t="n"/>
      <c r="Q1" s="1706" t="n"/>
      <c r="R1" s="1706" t="n"/>
      <c r="S1" s="1706" t="n"/>
      <c r="T1" s="1706" t="n"/>
      <c r="U1" s="1706" t="n"/>
      <c r="V1" s="1706" t="n"/>
      <c r="W1" s="1706" t="n"/>
      <c r="X1" s="1706" t="n"/>
      <c r="Y1" s="1706" t="n"/>
      <c r="Z1" s="1706" t="n"/>
      <c r="AA1" s="1706" t="n"/>
      <c r="AB1" s="1706" t="n"/>
      <c r="AC1" s="1706" t="n"/>
      <c r="AD1" s="1706" t="n"/>
      <c r="AE1" s="1706" t="n"/>
      <c r="AF1" s="1706" t="n"/>
      <c r="AG1" s="2" t="n"/>
      <c r="AH1" s="3" t="n"/>
      <c r="AI1" s="3" t="n"/>
      <c r="AJ1" s="3" t="n"/>
      <c r="AK1" s="3" t="n"/>
    </row>
    <row r="2">
      <c r="I2" s="1706" t="n"/>
      <c r="J2" s="1706" t="n"/>
      <c r="K2" s="1706" t="n"/>
      <c r="L2" s="1706" t="n"/>
      <c r="M2" s="1706" t="n"/>
      <c r="N2" s="1706" t="n"/>
      <c r="O2" s="1706" t="n"/>
      <c r="P2" s="1706" t="n"/>
      <c r="Q2" s="1706" t="n"/>
      <c r="R2" s="1706" t="n"/>
      <c r="S2" s="1706" t="n"/>
      <c r="T2" s="1706" t="n"/>
      <c r="U2" s="1706" t="n"/>
      <c r="V2" s="1706" t="n"/>
      <c r="W2" s="1706" t="n"/>
      <c r="X2" s="1706" t="n"/>
      <c r="Y2" s="1706" t="n"/>
      <c r="Z2" s="1706" t="n"/>
      <c r="AA2" s="1706" t="n"/>
      <c r="AB2" s="1706" t="n"/>
      <c r="AC2" s="1706" t="n"/>
      <c r="AD2" s="1706" t="n"/>
      <c r="AE2" s="1706" t="n"/>
      <c r="AF2" s="1706" t="n"/>
      <c r="AG2" s="2" t="n"/>
      <c r="AH2" s="5" t="n"/>
      <c r="AI2" s="5" t="n"/>
      <c r="AJ2" s="3" t="n"/>
      <c r="AK2" s="3" t="n"/>
    </row>
    <row r="3">
      <c r="A3" s="1616" t="inlineStr">
        <is>
          <t>RED ZONE</t>
        </is>
      </c>
      <c r="C3" s="1604" t="inlineStr">
        <is>
          <t xml:space="preserve">D-3 RJ &amp; JJ SPRAY </t>
        </is>
      </c>
      <c r="E3" s="1706" t="n"/>
      <c r="F3" s="1706" t="n"/>
      <c r="G3" s="1707" t="n"/>
      <c r="H3" s="1707" t="n"/>
      <c r="I3" s="1706" t="n"/>
      <c r="J3" s="1706" t="n"/>
      <c r="K3" s="1706" t="n"/>
      <c r="L3" s="1706" t="n"/>
      <c r="M3" s="1706" t="n"/>
      <c r="N3" s="1706" t="n"/>
      <c r="O3" s="1706" t="n"/>
      <c r="P3" s="1706" t="n"/>
      <c r="Q3" s="1706" t="n"/>
      <c r="R3" s="1706" t="n"/>
      <c r="S3" s="1706" t="n"/>
      <c r="T3" s="1706" t="n"/>
      <c r="U3" s="1706" t="n"/>
      <c r="V3" s="1706" t="n"/>
      <c r="W3" s="1706" t="n"/>
      <c r="X3" s="1706" t="n"/>
      <c r="Y3" s="1706" t="n"/>
      <c r="Z3" s="1706" t="n"/>
      <c r="AA3" s="1706" t="n"/>
      <c r="AB3" s="1706" t="n"/>
      <c r="AC3" s="1706" t="n"/>
      <c r="AD3" s="1706" t="n"/>
      <c r="AE3" s="1706" t="n"/>
      <c r="AF3" s="1706" t="n"/>
      <c r="AG3" s="2" t="n"/>
      <c r="AH3" s="5" t="n"/>
      <c r="AI3" s="5" t="n"/>
      <c r="AJ3" s="3" t="n"/>
      <c r="AK3" s="3" t="n"/>
    </row>
    <row r="4">
      <c r="A4" s="1617" t="inlineStr">
        <is>
          <t>YELLOW ZONE</t>
        </is>
      </c>
      <c r="C4" s="1604" t="inlineStr">
        <is>
          <t xml:space="preserve">D-3 &amp; D-4 </t>
        </is>
      </c>
      <c r="E4" s="1708" t="n">
        <v>46132</v>
      </c>
      <c r="H4" s="1709" t="inlineStr">
        <is>
          <t>UPDATE :</t>
        </is>
      </c>
      <c r="I4" s="1710" t="n">
        <v>0.3333333333333333</v>
      </c>
      <c r="K4" s="1706" t="n"/>
      <c r="L4" s="1706" t="n"/>
      <c r="M4" s="1706" t="n"/>
      <c r="N4" s="1706" t="n"/>
      <c r="O4" s="1706" t="n"/>
      <c r="P4" s="1706" t="n"/>
      <c r="Q4" s="1706" t="n"/>
      <c r="R4" s="1706" t="n"/>
      <c r="S4" s="1706" t="n"/>
      <c r="T4" s="1706" t="n"/>
      <c r="U4" s="1706" t="n"/>
      <c r="V4" s="1706" t="n"/>
      <c r="W4" s="1706" t="n"/>
      <c r="X4" s="1706" t="n"/>
      <c r="Y4" s="1706" t="n"/>
      <c r="Z4" s="1706" t="n"/>
      <c r="AA4" s="1706" t="n"/>
      <c r="AB4" s="1706" t="n"/>
      <c r="AC4" s="1706" t="n"/>
      <c r="AD4" s="1706" t="n"/>
      <c r="AE4" s="1706" t="n"/>
      <c r="AF4" s="1706" t="n"/>
      <c r="AG4" s="2" t="n"/>
      <c r="AH4" s="5" t="n"/>
      <c r="AI4" s="5" t="n"/>
      <c r="AJ4" s="3" t="n"/>
      <c r="AK4" s="3" t="n"/>
    </row>
    <row r="5" ht="18" customHeight="1" thickBot="1">
      <c r="A5" s="1609" t="inlineStr">
        <is>
          <t>GREEN ZONE</t>
        </is>
      </c>
      <c r="C5" s="1604" t="inlineStr">
        <is>
          <t xml:space="preserve">D-5 &amp; D-6 </t>
        </is>
      </c>
      <c r="I5" s="1711" t="n"/>
      <c r="J5" s="1711" t="n"/>
      <c r="K5" s="1706" t="n"/>
      <c r="L5" s="1706" t="n"/>
      <c r="M5" s="1706" t="n"/>
      <c r="N5" s="1706" t="n"/>
      <c r="O5" s="1706" t="n"/>
      <c r="P5" s="1706" t="n"/>
      <c r="Q5" s="1706" t="n"/>
      <c r="R5" s="1706" t="n"/>
      <c r="S5" s="1706" t="n"/>
      <c r="T5" s="1706" t="n"/>
      <c r="U5" s="1706" t="n"/>
      <c r="V5" s="1706" t="n"/>
      <c r="W5" s="1706" t="n"/>
      <c r="X5" s="1706" t="n"/>
      <c r="Y5" s="1706" t="n"/>
      <c r="Z5" s="1706" t="n"/>
      <c r="AA5" s="1706" t="n"/>
      <c r="AB5" s="1706" t="n"/>
      <c r="AC5" s="1706" t="n"/>
      <c r="AD5" s="1706" t="n"/>
      <c r="AE5" s="1706" t="n"/>
      <c r="AF5" s="1706" t="n"/>
      <c r="AG5" s="2" t="n"/>
      <c r="AH5" s="5" t="n"/>
      <c r="AI5" s="5" t="n"/>
      <c r="AJ5" s="3" t="n"/>
      <c r="AK5" s="3" t="n"/>
    </row>
    <row r="6" ht="24" customFormat="1" customHeight="1" s="183" thickBot="1">
      <c r="A6" s="1712" t="inlineStr">
        <is>
          <t>PLANT</t>
        </is>
      </c>
      <c r="B6" s="1713" t="inlineStr">
        <is>
          <t>Item Class</t>
        </is>
      </c>
      <c r="C6" s="1714" t="inlineStr">
        <is>
          <t>LINE</t>
        </is>
      </c>
      <c r="D6" s="1714" t="inlineStr">
        <is>
          <t>MODEL  Name</t>
        </is>
      </c>
      <c r="E6" s="1714" t="inlineStr">
        <is>
          <t>Style CD</t>
        </is>
      </c>
      <c r="F6" s="1714" t="inlineStr">
        <is>
          <t>color</t>
        </is>
      </c>
      <c r="G6" s="1715" t="inlineStr">
        <is>
          <t>SPRAY</t>
        </is>
      </c>
      <c r="H6" s="1716" t="inlineStr">
        <is>
          <t>PAD PRINTING</t>
        </is>
      </c>
      <c r="I6" s="1714" t="inlineStr">
        <is>
          <t>MCS</t>
        </is>
      </c>
      <c r="J6" s="1717" t="inlineStr">
        <is>
          <t>YIELD</t>
        </is>
      </c>
      <c r="K6" s="1582" t="inlineStr">
        <is>
          <t>Gen</t>
        </is>
      </c>
      <c r="L6" s="1718" t="inlineStr">
        <is>
          <t>APRIL</t>
        </is>
      </c>
      <c r="M6" s="1719" t="n"/>
      <c r="N6" s="1719" t="n"/>
      <c r="O6" s="1719" t="n"/>
      <c r="P6" s="1719" t="n"/>
      <c r="Q6" s="1719" t="n"/>
      <c r="R6" s="1719" t="n"/>
      <c r="S6" s="1719" t="n"/>
      <c r="T6" s="1719" t="n"/>
      <c r="U6" s="1719" t="n"/>
      <c r="V6" s="1719" t="n"/>
      <c r="W6" s="1719" t="n"/>
      <c r="X6" s="1720" t="n"/>
      <c r="Y6" s="1720" t="n"/>
      <c r="Z6" s="1720" t="n"/>
      <c r="AA6" s="1720" t="n"/>
      <c r="AB6" s="1720" t="n"/>
      <c r="AC6" s="1720" t="n"/>
      <c r="AD6" s="1721" t="n"/>
      <c r="AE6" s="1722" t="inlineStr">
        <is>
          <t>PROD
Total</t>
        </is>
      </c>
      <c r="AF6" s="1723" t="inlineStr">
        <is>
          <t>TOTAL KG</t>
        </is>
      </c>
      <c r="AG6" s="1724" t="inlineStr">
        <is>
          <t>REMARKS</t>
        </is>
      </c>
      <c r="AH6" s="1722" t="inlineStr">
        <is>
          <t>Hasil prod IP 18/04</t>
        </is>
      </c>
      <c r="AI6" s="1722" t="inlineStr">
        <is>
          <t>STOCK IP CKP 19/04</t>
        </is>
      </c>
      <c r="AJ6" s="1722" t="inlineStr">
        <is>
          <t>Set Bal Stock (JJ &amp; RJ) 19/04 BY LINE</t>
        </is>
      </c>
      <c r="AK6" s="1725" t="inlineStr">
        <is>
          <t>Set Bal Stock (JJ &amp; RJ) 19/04 BY STYLE</t>
        </is>
      </c>
    </row>
    <row r="7" ht="16.5" customFormat="1" customHeight="1" s="183">
      <c r="A7" s="1726" t="n"/>
      <c r="B7" s="1727" t="n"/>
      <c r="C7" s="1728" t="n"/>
      <c r="D7" s="1728" t="n"/>
      <c r="E7" s="1728" t="n"/>
      <c r="F7" s="1728" t="n"/>
      <c r="G7" s="1728" t="n"/>
      <c r="H7" s="1728" t="n"/>
      <c r="I7" s="1728" t="n"/>
      <c r="J7" s="1729" t="n"/>
      <c r="K7" s="1728" t="n"/>
      <c r="L7" s="174" t="inlineStr">
        <is>
          <t>4-8</t>
        </is>
      </c>
      <c r="M7" s="174" t="inlineStr">
        <is>
          <t>4-9</t>
        </is>
      </c>
      <c r="N7" s="174" t="inlineStr">
        <is>
          <t>4-13</t>
        </is>
      </c>
      <c r="O7" s="174" t="inlineStr">
        <is>
          <t>4-15</t>
        </is>
      </c>
      <c r="P7" s="174" t="inlineStr">
        <is>
          <t>4-16</t>
        </is>
      </c>
      <c r="Q7" s="174" t="inlineStr">
        <is>
          <t>4-17</t>
        </is>
      </c>
      <c r="R7" s="174" t="inlineStr">
        <is>
          <t>4-18</t>
        </is>
      </c>
      <c r="S7" s="174" t="inlineStr">
        <is>
          <t>4-20</t>
        </is>
      </c>
      <c r="T7" s="174" t="inlineStr">
        <is>
          <t>4-21</t>
        </is>
      </c>
      <c r="U7" s="174" t="inlineStr">
        <is>
          <t>4-22</t>
        </is>
      </c>
      <c r="V7" s="174" t="inlineStr">
        <is>
          <t>4-23</t>
        </is>
      </c>
      <c r="W7" s="174" t="inlineStr">
        <is>
          <t>4-24</t>
        </is>
      </c>
      <c r="X7" s="174" t="inlineStr">
        <is>
          <t>4-25</t>
        </is>
      </c>
      <c r="Y7" s="174" t="inlineStr">
        <is>
          <t>4-27</t>
        </is>
      </c>
      <c r="Z7" s="174" t="inlineStr">
        <is>
          <t>4-28</t>
        </is>
      </c>
      <c r="AA7" s="174" t="n"/>
      <c r="AB7" s="185" t="n"/>
      <c r="AC7" s="184" t="n"/>
      <c r="AD7" s="184" t="n"/>
      <c r="AE7" s="1728" t="n"/>
      <c r="AF7" s="1728" t="n"/>
      <c r="AG7" s="1728" t="n"/>
      <c r="AH7" s="1728" t="n"/>
      <c r="AI7" s="1728" t="n"/>
      <c r="AJ7" s="1728" t="n"/>
      <c r="AK7" s="1730" t="n"/>
    </row>
    <row r="8" ht="16.5" customFormat="1" customHeight="1" s="183">
      <c r="A8" s="1726" t="n"/>
      <c r="B8" s="1727" t="n"/>
      <c r="C8" s="1728" t="n"/>
      <c r="D8" s="1728" t="n"/>
      <c r="E8" s="1728" t="n"/>
      <c r="F8" s="1728" t="n"/>
      <c r="G8" s="1728" t="n"/>
      <c r="H8" s="1728" t="n"/>
      <c r="I8" s="1728" t="n"/>
      <c r="J8" s="1729" t="n"/>
      <c r="K8" s="186" t="inlineStr">
        <is>
          <t>JJ</t>
        </is>
      </c>
      <c r="L8" s="175" t="inlineStr">
        <is>
          <t>D+10</t>
        </is>
      </c>
      <c r="M8" s="175" t="inlineStr">
        <is>
          <t>D+9</t>
        </is>
      </c>
      <c r="N8" s="175" t="inlineStr">
        <is>
          <t>D+6</t>
        </is>
      </c>
      <c r="O8" s="175" t="inlineStr">
        <is>
          <t>D+4</t>
        </is>
      </c>
      <c r="P8" s="175" t="inlineStr">
        <is>
          <t>D+3</t>
        </is>
      </c>
      <c r="Q8" s="175" t="inlineStr">
        <is>
          <t>D+2</t>
        </is>
      </c>
      <c r="R8" s="175" t="inlineStr">
        <is>
          <t>D+1</t>
        </is>
      </c>
      <c r="S8" s="175" t="inlineStr">
        <is>
          <t>D-Day</t>
        </is>
      </c>
      <c r="T8" s="175" t="inlineStr">
        <is>
          <t>D-1</t>
        </is>
      </c>
      <c r="U8" s="175" t="inlineStr">
        <is>
          <t>D-2</t>
        </is>
      </c>
      <c r="V8" s="176" t="inlineStr">
        <is>
          <t>D-3</t>
        </is>
      </c>
      <c r="W8" s="176" t="inlineStr">
        <is>
          <t>D-4</t>
        </is>
      </c>
      <c r="X8" s="177" t="inlineStr">
        <is>
          <t>D-5</t>
        </is>
      </c>
      <c r="Y8" s="177" t="inlineStr">
        <is>
          <t>D-6</t>
        </is>
      </c>
      <c r="Z8" s="177" t="inlineStr">
        <is>
          <t>D-7</t>
        </is>
      </c>
      <c r="AA8" s="177" t="n"/>
      <c r="AB8" s="187" t="n"/>
      <c r="AC8" s="187" t="n"/>
      <c r="AD8" s="187" t="n"/>
      <c r="AE8" s="1728" t="n"/>
      <c r="AF8" s="1728" t="n"/>
      <c r="AG8" s="1728" t="n"/>
      <c r="AH8" s="1728" t="n"/>
      <c r="AI8" s="1728" t="n"/>
      <c r="AJ8" s="1728" t="n"/>
      <c r="AK8" s="1730" t="n"/>
    </row>
    <row r="9" customFormat="1" s="183" thickBot="1">
      <c r="A9" s="1731" t="n"/>
      <c r="B9" s="1732" t="n"/>
      <c r="C9" s="1733" t="n"/>
      <c r="D9" s="1733" t="n"/>
      <c r="E9" s="1733" t="n"/>
      <c r="F9" s="1733" t="n"/>
      <c r="G9" s="1733" t="n"/>
      <c r="H9" s="1733" t="n"/>
      <c r="I9" s="1733" t="n"/>
      <c r="J9" s="1734" t="n"/>
      <c r="K9" s="188" t="inlineStr">
        <is>
          <t>RJ</t>
        </is>
      </c>
      <c r="L9" s="175" t="inlineStr">
        <is>
          <t>D+10</t>
        </is>
      </c>
      <c r="M9" s="175" t="inlineStr">
        <is>
          <t>D+9</t>
        </is>
      </c>
      <c r="N9" s="175" t="inlineStr">
        <is>
          <t>D+6</t>
        </is>
      </c>
      <c r="O9" s="175" t="inlineStr">
        <is>
          <t>D+4</t>
        </is>
      </c>
      <c r="P9" s="175" t="inlineStr">
        <is>
          <t>D+3</t>
        </is>
      </c>
      <c r="Q9" s="178" t="inlineStr">
        <is>
          <t>D+2</t>
        </is>
      </c>
      <c r="R9" s="178" t="inlineStr">
        <is>
          <t>D+1</t>
        </is>
      </c>
      <c r="S9" s="178" t="inlineStr">
        <is>
          <t>D-Day</t>
        </is>
      </c>
      <c r="T9" s="178" t="inlineStr">
        <is>
          <t>D-1</t>
        </is>
      </c>
      <c r="U9" s="178" t="inlineStr">
        <is>
          <t>D-2</t>
        </is>
      </c>
      <c r="V9" s="178" t="inlineStr">
        <is>
          <t>D-3</t>
        </is>
      </c>
      <c r="W9" s="179" t="inlineStr">
        <is>
          <t>D-4</t>
        </is>
      </c>
      <c r="X9" s="180" t="inlineStr">
        <is>
          <t>D-5</t>
        </is>
      </c>
      <c r="Y9" s="180" t="inlineStr">
        <is>
          <t>D-6</t>
        </is>
      </c>
      <c r="Z9" s="180" t="inlineStr">
        <is>
          <t>D-7</t>
        </is>
      </c>
      <c r="AA9" s="180" t="n"/>
      <c r="AB9" s="189" t="n"/>
      <c r="AC9" s="189" t="n"/>
      <c r="AD9" s="189" t="n"/>
      <c r="AE9" s="1733" t="n"/>
      <c r="AF9" s="1733" t="n"/>
      <c r="AG9" s="1733" t="n"/>
      <c r="AH9" s="1733" t="n"/>
      <c r="AI9" s="1733" t="n"/>
      <c r="AJ9" s="1733" t="n"/>
      <c r="AK9" s="1735" t="n"/>
    </row>
    <row r="10">
      <c r="A10" s="7" t="n"/>
      <c r="B10" s="8" t="n"/>
      <c r="C10" s="9" t="n"/>
      <c r="D10" s="9" t="n"/>
      <c r="E10" s="9" t="n"/>
      <c r="F10" s="9" t="n"/>
      <c r="G10" s="9" t="n"/>
      <c r="H10" s="9" t="n"/>
      <c r="I10" s="10" t="n"/>
      <c r="J10" s="11" t="n"/>
      <c r="K10" s="11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3" t="n"/>
      <c r="AF10" s="14" t="n"/>
      <c r="AG10" s="15" t="n"/>
      <c r="AH10" s="16" t="n"/>
      <c r="AI10" s="16" t="n"/>
      <c r="AJ10" s="16" t="n"/>
      <c r="AK10" s="17" t="n"/>
    </row>
    <row r="11" ht="30" customHeight="1">
      <c r="A11" s="1578" t="inlineStr">
        <is>
          <t>A</t>
        </is>
      </c>
      <c r="B11" s="18" t="inlineStr">
        <is>
          <t>IP01</t>
        </is>
      </c>
      <c r="C11" s="19" t="inlineStr">
        <is>
          <t>FGA04</t>
        </is>
      </c>
      <c r="D11" s="20" t="inlineStr">
        <is>
          <t>NIKE DOWNSHIFTER 13</t>
        </is>
      </c>
      <c r="E11" s="19" t="inlineStr">
        <is>
          <t>FD6454-007</t>
        </is>
      </c>
      <c r="F11" s="21" t="inlineStr">
        <is>
          <t>WHITE</t>
        </is>
      </c>
      <c r="G11" s="22" t="inlineStr">
        <is>
          <t>NO</t>
        </is>
      </c>
      <c r="H11" s="23" t="inlineStr">
        <is>
          <t>VOLT</t>
        </is>
      </c>
      <c r="I11" s="24" t="inlineStr">
        <is>
          <t>BIP 024</t>
        </is>
      </c>
      <c r="J11" s="1736" t="n">
        <v>0.211</v>
      </c>
      <c r="K11" s="26" t="inlineStr">
        <is>
          <t>ME</t>
        </is>
      </c>
      <c r="L11" s="1737" t="n"/>
      <c r="M11" s="1737" t="n"/>
      <c r="N11" s="1737" t="n"/>
      <c r="O11" s="1737" t="n"/>
      <c r="P11" s="1737" t="n"/>
      <c r="Q11" s="1737" t="n"/>
      <c r="R11" s="1737" t="n"/>
      <c r="S11" s="1737" t="n"/>
      <c r="T11" s="1737" t="n"/>
      <c r="U11" s="1737" t="n">
        <v>288</v>
      </c>
      <c r="V11" s="28" t="n">
        <v>972</v>
      </c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9">
        <f>SUM(L11:AD11)</f>
        <v/>
      </c>
      <c r="AF11" s="30">
        <f>J11*AE11</f>
        <v/>
      </c>
      <c r="AG11" s="190" t="inlineStr">
        <is>
          <t>FINISH ORDER CHANGE STYLE</t>
        </is>
      </c>
      <c r="AH11" s="1573" t="n">
        <v>2208</v>
      </c>
      <c r="AI11" s="1573">
        <f>216+689+120+816+7+24+120</f>
        <v/>
      </c>
      <c r="AJ11" s="1573">
        <f>SUM(AK11:AK12)</f>
        <v/>
      </c>
      <c r="AK11" s="1569" t="n">
        <v>1518</v>
      </c>
    </row>
    <row r="12" ht="30" customHeight="1" thickBot="1">
      <c r="A12" s="1738" t="n"/>
      <c r="B12" s="60" t="inlineStr">
        <is>
          <t>IP01</t>
        </is>
      </c>
      <c r="C12" s="61" t="inlineStr">
        <is>
          <t>FGA04</t>
        </is>
      </c>
      <c r="D12" s="62" t="inlineStr">
        <is>
          <t>NIKE DOWNSHIFTER 13</t>
        </is>
      </c>
      <c r="E12" s="61" t="inlineStr">
        <is>
          <t>FD6454-102</t>
        </is>
      </c>
      <c r="F12" s="63" t="inlineStr">
        <is>
          <t>PHOTON DUST</t>
        </is>
      </c>
      <c r="G12" s="64" t="inlineStr">
        <is>
          <t>NO</t>
        </is>
      </c>
      <c r="H12" s="65" t="inlineStr">
        <is>
          <t>ASHEN SLATE</t>
        </is>
      </c>
      <c r="I12" s="66" t="inlineStr">
        <is>
          <t>BIP 024</t>
        </is>
      </c>
      <c r="J12" s="1739" t="n">
        <v>0.211</v>
      </c>
      <c r="K12" s="68" t="inlineStr">
        <is>
          <t>ME</t>
        </is>
      </c>
      <c r="L12" s="1740" t="n"/>
      <c r="M12" s="1740" t="n"/>
      <c r="N12" s="1740" t="n"/>
      <c r="O12" s="1740" t="n">
        <v>0</v>
      </c>
      <c r="P12" s="1740" t="n">
        <v>0</v>
      </c>
      <c r="Q12" s="1740" t="n">
        <v>0</v>
      </c>
      <c r="R12" s="1740" t="n">
        <v>0</v>
      </c>
      <c r="S12" s="1740" t="n">
        <v>0</v>
      </c>
      <c r="T12" s="1740" t="n">
        <v>0</v>
      </c>
      <c r="U12" s="1740" t="n"/>
      <c r="V12" s="70" t="n">
        <v>36</v>
      </c>
      <c r="W12" s="70" t="n">
        <v>792</v>
      </c>
      <c r="X12" s="70" t="n">
        <v>1368</v>
      </c>
      <c r="Y12" s="70" t="n">
        <v>2208</v>
      </c>
      <c r="Z12" s="70" t="n">
        <v>2208</v>
      </c>
      <c r="AA12" s="70" t="n"/>
      <c r="AB12" s="70" t="n"/>
      <c r="AC12" s="70" t="n"/>
      <c r="AD12" s="70" t="n"/>
      <c r="AE12" s="71">
        <f>SUM(L12:AD12)</f>
        <v/>
      </c>
      <c r="AF12" s="72">
        <f>J12*AE12</f>
        <v/>
      </c>
      <c r="AG12" s="193" t="n"/>
      <c r="AH12" s="1741" t="n"/>
      <c r="AI12" s="1741" t="n"/>
      <c r="AJ12" s="1741" t="n"/>
      <c r="AK12" s="73" t="n">
        <v>4406</v>
      </c>
    </row>
    <row r="13" ht="30" customHeight="1">
      <c r="A13" s="1738" t="n"/>
      <c r="B13" s="48" t="inlineStr">
        <is>
          <t>II01</t>
        </is>
      </c>
      <c r="C13" s="49" t="inlineStr">
        <is>
          <t>FGA05</t>
        </is>
      </c>
      <c r="D13" s="50" t="inlineStr">
        <is>
          <t>NIKE AIR MAX 90 LTR (PS)</t>
        </is>
      </c>
      <c r="E13" s="49" t="inlineStr">
        <is>
          <t>CD6867-100</t>
        </is>
      </c>
      <c r="F13" s="51" t="inlineStr">
        <is>
          <t>WHITE</t>
        </is>
      </c>
      <c r="G13" s="52" t="inlineStr">
        <is>
          <t>NO</t>
        </is>
      </c>
      <c r="H13" s="53" t="inlineStr">
        <is>
          <t>NO</t>
        </is>
      </c>
      <c r="I13" s="54" t="inlineStr">
        <is>
          <t>DMP 001</t>
        </is>
      </c>
      <c r="J13" s="1742" t="n">
        <v>0.1236</v>
      </c>
      <c r="K13" s="56" t="inlineStr">
        <is>
          <t>PS</t>
        </is>
      </c>
      <c r="L13" s="1743" t="n"/>
      <c r="M13" s="1743" t="n"/>
      <c r="N13" s="1743" t="n"/>
      <c r="O13" s="1743" t="n"/>
      <c r="P13" s="1743" t="n"/>
      <c r="Q13" s="1743" t="n"/>
      <c r="R13" s="1743" t="n">
        <v>0</v>
      </c>
      <c r="S13" s="1743" t="n">
        <v>12</v>
      </c>
      <c r="T13" s="1743" t="n">
        <v>318</v>
      </c>
      <c r="U13" s="1743" t="n">
        <v>768</v>
      </c>
      <c r="V13" s="58" t="n">
        <v>1044</v>
      </c>
      <c r="W13" s="58" t="n">
        <v>1140</v>
      </c>
      <c r="X13" s="58" t="n"/>
      <c r="Y13" s="58" t="n">
        <v>1296</v>
      </c>
      <c r="Z13" s="58" t="n">
        <v>1296</v>
      </c>
      <c r="AA13" s="58" t="n"/>
      <c r="AB13" s="58" t="n"/>
      <c r="AC13" s="58" t="n"/>
      <c r="AD13" s="58" t="n"/>
      <c r="AE13" s="46">
        <f>SUM(L13:AD13)</f>
        <v/>
      </c>
      <c r="AF13" s="47">
        <f>J13*AE13</f>
        <v/>
      </c>
      <c r="AG13" s="192" t="n"/>
      <c r="AH13" s="1744" t="n">
        <v>1858</v>
      </c>
      <c r="AI13" s="1744">
        <f>96+204+96+48+144+252+36+60</f>
        <v/>
      </c>
      <c r="AJ13" s="1744">
        <f>SUM(AK13:AK15)</f>
        <v/>
      </c>
      <c r="AK13" s="1576" t="n">
        <v>2824</v>
      </c>
    </row>
    <row r="14" ht="30" customHeight="1">
      <c r="A14" s="1738" t="n"/>
      <c r="B14" s="18" t="inlineStr">
        <is>
          <t>II01</t>
        </is>
      </c>
      <c r="C14" s="19" t="inlineStr">
        <is>
          <t>FGA05</t>
        </is>
      </c>
      <c r="D14" s="20" t="inlineStr">
        <is>
          <t>NIKE AIR MAX 90 LTR (TD)</t>
        </is>
      </c>
      <c r="E14" s="19" t="inlineStr">
        <is>
          <t>CD6868-001</t>
        </is>
      </c>
      <c r="F14" s="21" t="inlineStr">
        <is>
          <t>BLACK</t>
        </is>
      </c>
      <c r="G14" s="22" t="inlineStr">
        <is>
          <t>NO</t>
        </is>
      </c>
      <c r="H14" s="23" t="inlineStr">
        <is>
          <t>NO</t>
        </is>
      </c>
      <c r="I14" s="24" t="inlineStr">
        <is>
          <t>DMP 001</t>
        </is>
      </c>
      <c r="J14" s="1736" t="n">
        <v>0.0672</v>
      </c>
      <c r="K14" s="26" t="inlineStr">
        <is>
          <t>TD</t>
        </is>
      </c>
      <c r="L14" s="1737" t="n">
        <v>0</v>
      </c>
      <c r="M14" s="1737" t="n">
        <v>0</v>
      </c>
      <c r="N14" s="1737" t="n"/>
      <c r="O14" s="1737" t="n"/>
      <c r="P14" s="1737" t="n"/>
      <c r="Q14" s="1737" t="n"/>
      <c r="R14" s="1737" t="n"/>
      <c r="S14" s="1737" t="n"/>
      <c r="T14" s="1737" t="n">
        <v>12</v>
      </c>
      <c r="U14" s="1737" t="n">
        <v>180</v>
      </c>
      <c r="V14" s="28" t="n">
        <v>617</v>
      </c>
      <c r="W14" s="28" t="n">
        <v>732</v>
      </c>
      <c r="X14" s="28" t="n">
        <v>588</v>
      </c>
      <c r="Y14" s="28" t="n">
        <v>804</v>
      </c>
      <c r="Z14" s="28" t="n">
        <v>456</v>
      </c>
      <c r="AA14" s="28" t="n"/>
      <c r="AB14" s="28" t="n"/>
      <c r="AC14" s="28" t="n"/>
      <c r="AD14" s="28" t="n"/>
      <c r="AE14" s="29">
        <f>SUM(L14:AD14)</f>
        <v/>
      </c>
      <c r="AF14" s="30">
        <f>J14*AE14</f>
        <v/>
      </c>
      <c r="AG14" s="190" t="n"/>
      <c r="AH14" s="1745" t="n"/>
      <c r="AI14" s="1745" t="n"/>
      <c r="AJ14" s="1745" t="n"/>
      <c r="AK14" s="1569" t="n">
        <v>1450</v>
      </c>
    </row>
    <row r="15" ht="30" customHeight="1" thickBot="1">
      <c r="A15" s="1578" t="n"/>
      <c r="B15" s="60" t="inlineStr">
        <is>
          <t>II01</t>
        </is>
      </c>
      <c r="C15" s="61" t="inlineStr">
        <is>
          <t>FGA05</t>
        </is>
      </c>
      <c r="D15" s="62" t="inlineStr">
        <is>
          <t>NIKE AIR MAX 90 LTR (TD)</t>
        </is>
      </c>
      <c r="E15" s="61" t="inlineStr">
        <is>
          <t>CD6868-100</t>
        </is>
      </c>
      <c r="F15" s="63" t="inlineStr">
        <is>
          <t>WHITE</t>
        </is>
      </c>
      <c r="G15" s="64" t="inlineStr">
        <is>
          <t>NO</t>
        </is>
      </c>
      <c r="H15" s="65" t="inlineStr">
        <is>
          <t>NO</t>
        </is>
      </c>
      <c r="I15" s="66" t="inlineStr">
        <is>
          <t>DMP 001</t>
        </is>
      </c>
      <c r="J15" s="1739" t="n">
        <v>0.0672</v>
      </c>
      <c r="K15" s="68" t="inlineStr">
        <is>
          <t>TD</t>
        </is>
      </c>
      <c r="L15" s="1740" t="n"/>
      <c r="M15" s="1740" t="n"/>
      <c r="N15" s="1740" t="n"/>
      <c r="O15" s="1740" t="n"/>
      <c r="P15" s="1740" t="n"/>
      <c r="Q15" s="1740" t="n"/>
      <c r="R15" s="1740" t="n"/>
      <c r="S15" s="1740" t="n"/>
      <c r="T15" s="1740" t="n"/>
      <c r="U15" s="1740" t="n"/>
      <c r="V15" s="70" t="n"/>
      <c r="W15" s="70" t="n"/>
      <c r="X15" s="70" t="n"/>
      <c r="Y15" s="70" t="n"/>
      <c r="Z15" s="70" t="n">
        <v>348</v>
      </c>
      <c r="AA15" s="70" t="n"/>
      <c r="AB15" s="70" t="n"/>
      <c r="AC15" s="70" t="n"/>
      <c r="AD15" s="70" t="n"/>
      <c r="AE15" s="71">
        <f>SUM(L15:AD15)</f>
        <v/>
      </c>
      <c r="AF15" s="72">
        <f>J15*AE15</f>
        <v/>
      </c>
      <c r="AG15" s="193" t="n"/>
      <c r="AH15" s="1741" t="n"/>
      <c r="AI15" s="1741" t="n"/>
      <c r="AJ15" s="1741" t="n"/>
      <c r="AK15" s="73" t="n">
        <v>3657</v>
      </c>
    </row>
    <row r="16" ht="30" customHeight="1">
      <c r="A16" s="1578" t="n"/>
      <c r="B16" s="32" t="inlineStr">
        <is>
          <t>IP01</t>
        </is>
      </c>
      <c r="C16" s="33" t="inlineStr">
        <is>
          <t>FGA07</t>
        </is>
      </c>
      <c r="D16" s="34" t="inlineStr">
        <is>
          <t>W NIKE M2K TEKNO</t>
        </is>
      </c>
      <c r="E16" s="33" t="inlineStr">
        <is>
          <t>AO3108-203</t>
        </is>
      </c>
      <c r="F16" s="35" t="inlineStr">
        <is>
          <t>SUMMIT WHITE</t>
        </is>
      </c>
      <c r="G16" s="36" t="inlineStr">
        <is>
          <t>NO</t>
        </is>
      </c>
      <c r="H16" s="37" t="inlineStr">
        <is>
          <t>NO</t>
        </is>
      </c>
      <c r="I16" s="38" t="inlineStr">
        <is>
          <t>LCIP 003</t>
        </is>
      </c>
      <c r="J16" s="1746" t="n"/>
      <c r="K16" s="40" t="inlineStr">
        <is>
          <t>WO</t>
        </is>
      </c>
      <c r="L16" s="1747" t="n"/>
      <c r="M16" s="1747" t="n">
        <v>0</v>
      </c>
      <c r="N16" s="1747" t="n">
        <v>0</v>
      </c>
      <c r="O16" s="1747" t="n"/>
      <c r="P16" s="1747" t="n"/>
      <c r="Q16" s="1747" t="n"/>
      <c r="R16" s="1747" t="n"/>
      <c r="S16" s="1747" t="n"/>
      <c r="T16" s="1747" t="n"/>
      <c r="U16" s="1747" t="n"/>
      <c r="V16" s="42" t="n"/>
      <c r="W16" s="42" t="n"/>
      <c r="X16" s="42" t="n"/>
      <c r="Y16" s="42" t="n">
        <v>436</v>
      </c>
      <c r="Z16" s="42" t="n">
        <v>1200</v>
      </c>
      <c r="AA16" s="42" t="n"/>
      <c r="AB16" s="42" t="n"/>
      <c r="AC16" s="42" t="n"/>
      <c r="AD16" s="42" t="n"/>
      <c r="AE16" s="43">
        <f>SUM(L16:AD16)</f>
        <v/>
      </c>
      <c r="AF16" s="44">
        <f>J16*AE16</f>
        <v/>
      </c>
      <c r="AG16" s="191" t="n"/>
      <c r="AH16" s="1744" t="n">
        <v>0</v>
      </c>
      <c r="AI16" s="1744" t="n"/>
      <c r="AJ16" s="1744">
        <f>SUM(AK16:AK18)</f>
        <v/>
      </c>
      <c r="AK16" s="45" t="n">
        <v>0</v>
      </c>
    </row>
    <row r="17" ht="30" customHeight="1">
      <c r="A17" s="1578" t="n"/>
      <c r="B17" s="48" t="inlineStr">
        <is>
          <t>IP01</t>
        </is>
      </c>
      <c r="C17" s="49" t="inlineStr">
        <is>
          <t>FGA07</t>
        </is>
      </c>
      <c r="D17" s="50" t="inlineStr">
        <is>
          <t>NIKE HOMESCAPE WOVEN SP</t>
        </is>
      </c>
      <c r="E17" s="49" t="inlineStr">
        <is>
          <t>HM6961-001</t>
        </is>
      </c>
      <c r="F17" s="51" t="inlineStr">
        <is>
          <t>DARK BLUE GREY</t>
        </is>
      </c>
      <c r="G17" s="52" t="inlineStr">
        <is>
          <t>MED OREWOOD BRN</t>
        </is>
      </c>
      <c r="H17" s="53" t="inlineStr">
        <is>
          <t>NO</t>
        </is>
      </c>
      <c r="I17" s="54" t="inlineStr">
        <is>
          <t>IU 009</t>
        </is>
      </c>
      <c r="J17" s="1742" t="n"/>
      <c r="K17" s="56" t="inlineStr">
        <is>
          <t>ME</t>
        </is>
      </c>
      <c r="L17" s="1743" t="n"/>
      <c r="M17" s="1743" t="n"/>
      <c r="N17" s="1743" t="n"/>
      <c r="O17" s="1743" t="n"/>
      <c r="P17" s="1743" t="n"/>
      <c r="Q17" s="1743" t="n"/>
      <c r="R17" s="1743" t="n"/>
      <c r="S17" s="1743" t="n">
        <v>120</v>
      </c>
      <c r="T17" s="1743" t="n">
        <v>74</v>
      </c>
      <c r="U17" s="1743" t="n">
        <v>168</v>
      </c>
      <c r="V17" s="58" t="n">
        <v>38</v>
      </c>
      <c r="W17" s="58" t="n"/>
      <c r="X17" s="58" t="n"/>
      <c r="Y17" s="58" t="n"/>
      <c r="Z17" s="58" t="n"/>
      <c r="AA17" s="58" t="n"/>
      <c r="AB17" s="58" t="n"/>
      <c r="AC17" s="58" t="n"/>
      <c r="AD17" s="58" t="n"/>
      <c r="AE17" s="46">
        <f>SUM(L17:AD17)</f>
        <v/>
      </c>
      <c r="AF17" s="47">
        <f>J17*AE17</f>
        <v/>
      </c>
      <c r="AG17" s="192" t="inlineStr">
        <is>
          <t>FINISH ORDER CHANGE STYLE</t>
        </is>
      </c>
      <c r="AH17" s="1745" t="n"/>
      <c r="AI17" s="1745" t="n"/>
      <c r="AJ17" s="1745" t="n"/>
      <c r="AK17" s="1576" t="n">
        <v>0</v>
      </c>
    </row>
    <row r="18" ht="30" customHeight="1" thickBot="1">
      <c r="A18" s="1578" t="n"/>
      <c r="B18" s="60" t="inlineStr">
        <is>
          <t>IP01</t>
        </is>
      </c>
      <c r="C18" s="61" t="inlineStr">
        <is>
          <t>FGA07</t>
        </is>
      </c>
      <c r="D18" s="62" t="inlineStr">
        <is>
          <t>NIKE HOMESCAPE WOVEN SP</t>
        </is>
      </c>
      <c r="E18" s="61" t="inlineStr">
        <is>
          <t>HM6961-600</t>
        </is>
      </c>
      <c r="F18" s="63" t="inlineStr">
        <is>
          <t>BLACK</t>
        </is>
      </c>
      <c r="G18" s="64" t="inlineStr">
        <is>
          <t>GINGER</t>
        </is>
      </c>
      <c r="H18" s="65" t="inlineStr">
        <is>
          <t>NO</t>
        </is>
      </c>
      <c r="I18" s="66" t="inlineStr">
        <is>
          <t>IU 009</t>
        </is>
      </c>
      <c r="J18" s="1739" t="n"/>
      <c r="K18" s="68" t="inlineStr">
        <is>
          <t>ME</t>
        </is>
      </c>
      <c r="L18" s="1740" t="n"/>
      <c r="M18" s="1740" t="n"/>
      <c r="N18" s="1740" t="n"/>
      <c r="O18" s="1740" t="n"/>
      <c r="P18" s="1740" t="n"/>
      <c r="Q18" s="1740" t="n"/>
      <c r="R18" s="1740" t="n"/>
      <c r="S18" s="1740" t="n"/>
      <c r="T18" s="1748" t="n">
        <v>70</v>
      </c>
      <c r="U18" s="1740" t="n"/>
      <c r="V18" s="70" t="n">
        <v>166</v>
      </c>
      <c r="W18" s="70" t="n">
        <v>204</v>
      </c>
      <c r="X18" s="70" t="n">
        <v>130</v>
      </c>
      <c r="Y18" s="70" t="n"/>
      <c r="Z18" s="70" t="n"/>
      <c r="AA18" s="70" t="n"/>
      <c r="AB18" s="70" t="n"/>
      <c r="AC18" s="70" t="n"/>
      <c r="AD18" s="70" t="n"/>
      <c r="AE18" s="71">
        <f>SUM(L18:AD18)</f>
        <v/>
      </c>
      <c r="AF18" s="72">
        <f>J18*AE18</f>
        <v/>
      </c>
      <c r="AG18" s="210" t="inlineStr">
        <is>
          <t>ZPS</t>
        </is>
      </c>
      <c r="AH18" s="1741" t="n"/>
      <c r="AI18" s="1741" t="n"/>
      <c r="AJ18" s="1741" t="n"/>
      <c r="AK18" s="73" t="n">
        <v>0</v>
      </c>
    </row>
    <row r="19" ht="30" customHeight="1">
      <c r="A19" s="1578" t="n"/>
      <c r="B19" s="32" t="inlineStr">
        <is>
          <t>IP01</t>
        </is>
      </c>
      <c r="C19" s="33" t="inlineStr">
        <is>
          <t>FGA10</t>
        </is>
      </c>
      <c r="D19" s="34" t="inlineStr">
        <is>
          <t>NIKE AIR MAX 2017</t>
        </is>
      </c>
      <c r="E19" s="33" t="inlineStr">
        <is>
          <t>849559-004</t>
        </is>
      </c>
      <c r="F19" s="35" t="inlineStr">
        <is>
          <t>BLACK</t>
        </is>
      </c>
      <c r="G19" s="36" t="inlineStr">
        <is>
          <t>NO</t>
        </is>
      </c>
      <c r="H19" s="37" t="inlineStr">
        <is>
          <t>NO</t>
        </is>
      </c>
      <c r="I19" s="38" t="inlineStr">
        <is>
          <t>OEF 006</t>
        </is>
      </c>
      <c r="J19" s="1746" t="n"/>
      <c r="K19" s="40" t="inlineStr">
        <is>
          <t>ME</t>
        </is>
      </c>
      <c r="L19" s="1747" t="n"/>
      <c r="M19" s="1747" t="n"/>
      <c r="N19" s="1747" t="n">
        <v>0</v>
      </c>
      <c r="O19" s="1747" t="n">
        <v>0</v>
      </c>
      <c r="P19" s="1747" t="n">
        <v>12</v>
      </c>
      <c r="Q19" s="1747" t="n">
        <v>143</v>
      </c>
      <c r="R19" s="1747" t="n">
        <v>299</v>
      </c>
      <c r="S19" s="1747" t="n">
        <v>944</v>
      </c>
      <c r="T19" s="1747" t="n">
        <v>1356</v>
      </c>
      <c r="U19" s="1747" t="n">
        <v>1779</v>
      </c>
      <c r="V19" s="42" t="n">
        <v>2109</v>
      </c>
      <c r="W19" s="42" t="n">
        <v>1737</v>
      </c>
      <c r="X19" s="42" t="n">
        <v>90</v>
      </c>
      <c r="Y19" s="42" t="n"/>
      <c r="Z19" s="42" t="n"/>
      <c r="AA19" s="42" t="n"/>
      <c r="AB19" s="42" t="n"/>
      <c r="AC19" s="42" t="n"/>
      <c r="AD19" s="42" t="n"/>
      <c r="AE19" s="43">
        <f>SUM(L19:AD19)</f>
        <v/>
      </c>
      <c r="AF19" s="44">
        <f>J19*AE19</f>
        <v/>
      </c>
      <c r="AG19" s="216" t="n"/>
      <c r="AH19" s="1744" t="n">
        <v>2896</v>
      </c>
      <c r="AI19" s="1744">
        <f>360+192+132+48</f>
        <v/>
      </c>
      <c r="AJ19" s="1744">
        <f>SUM(AK19:AK20)</f>
        <v/>
      </c>
      <c r="AK19" s="45" t="n">
        <v>5802</v>
      </c>
    </row>
    <row r="20" ht="30" customHeight="1" thickBot="1">
      <c r="A20" s="1578" t="n"/>
      <c r="B20" s="60" t="inlineStr">
        <is>
          <t>IP01</t>
        </is>
      </c>
      <c r="C20" s="61" t="inlineStr">
        <is>
          <t>FGA10</t>
        </is>
      </c>
      <c r="D20" s="62" t="inlineStr">
        <is>
          <t>NIKE AIR MAX 2017 SE</t>
        </is>
      </c>
      <c r="E20" s="61" t="inlineStr">
        <is>
          <t>AQ8628-002</t>
        </is>
      </c>
      <c r="F20" s="63" t="inlineStr">
        <is>
          <t>PURE PLATINUM</t>
        </is>
      </c>
      <c r="G20" s="64" t="inlineStr">
        <is>
          <t>NO</t>
        </is>
      </c>
      <c r="H20" s="65" t="inlineStr">
        <is>
          <t>NO</t>
        </is>
      </c>
      <c r="I20" s="66" t="inlineStr">
        <is>
          <t>OEF 006</t>
        </is>
      </c>
      <c r="J20" s="1739" t="n"/>
      <c r="K20" s="68" t="inlineStr">
        <is>
          <t>ME</t>
        </is>
      </c>
      <c r="L20" s="1740" t="n"/>
      <c r="M20" s="1740" t="n"/>
      <c r="N20" s="1740" t="n"/>
      <c r="O20" s="1740" t="n">
        <v>0</v>
      </c>
      <c r="P20" s="1740" t="n">
        <v>0</v>
      </c>
      <c r="Q20" s="1740" t="n">
        <v>0</v>
      </c>
      <c r="R20" s="1740" t="n"/>
      <c r="S20" s="1740" t="n"/>
      <c r="T20" s="1740" t="n"/>
      <c r="U20" s="1740" t="n">
        <v>27</v>
      </c>
      <c r="V20" s="70" t="n">
        <v>71</v>
      </c>
      <c r="W20" s="70" t="n">
        <v>541</v>
      </c>
      <c r="X20" s="70" t="n">
        <v>1614</v>
      </c>
      <c r="Y20" s="70" t="n">
        <v>2329</v>
      </c>
      <c r="Z20" s="70" t="n">
        <v>351</v>
      </c>
      <c r="AA20" s="70" t="n"/>
      <c r="AB20" s="70" t="n"/>
      <c r="AC20" s="70" t="n"/>
      <c r="AD20" s="70" t="n"/>
      <c r="AE20" s="71">
        <f>SUM(L20:AD20)</f>
        <v/>
      </c>
      <c r="AF20" s="72">
        <f>J20*AE20</f>
        <v/>
      </c>
      <c r="AG20" s="217" t="n"/>
      <c r="AH20" s="1741" t="n"/>
      <c r="AI20" s="1741" t="n"/>
      <c r="AJ20" s="1741" t="n"/>
      <c r="AK20" s="73" t="n">
        <v>2116</v>
      </c>
    </row>
    <row r="21" ht="30" customHeight="1">
      <c r="A21" s="1578" t="n"/>
      <c r="B21" s="32" t="inlineStr">
        <is>
          <t>IP01</t>
        </is>
      </c>
      <c r="C21" s="33" t="inlineStr">
        <is>
          <t>FGA11</t>
        </is>
      </c>
      <c r="D21" s="34" t="inlineStr">
        <is>
          <t>NIKE P-6000 (TD)</t>
        </is>
      </c>
      <c r="E21" s="33" t="inlineStr">
        <is>
          <t>IO4646-021</t>
        </is>
      </c>
      <c r="F21" s="35" t="inlineStr">
        <is>
          <t>SAIL</t>
        </is>
      </c>
      <c r="G21" s="36" t="inlineStr">
        <is>
          <t>NO</t>
        </is>
      </c>
      <c r="H21" s="37" t="inlineStr">
        <is>
          <t>NO</t>
        </is>
      </c>
      <c r="I21" s="38" t="inlineStr">
        <is>
          <t>LCIP 003</t>
        </is>
      </c>
      <c r="J21" s="1746" t="n">
        <v>0.0704</v>
      </c>
      <c r="K21" s="40" t="inlineStr">
        <is>
          <t>TD</t>
        </is>
      </c>
      <c r="L21" s="1747" t="n"/>
      <c r="M21" s="1747" t="n"/>
      <c r="N21" s="1747" t="n"/>
      <c r="O21" s="1747" t="n"/>
      <c r="P21" s="1747" t="n"/>
      <c r="Q21" s="1747" t="n"/>
      <c r="R21" s="1747" t="n"/>
      <c r="S21" s="1747" t="n"/>
      <c r="T21" s="1747" t="n"/>
      <c r="U21" s="1747" t="n"/>
      <c r="V21" s="42" t="n"/>
      <c r="W21" s="42" t="n"/>
      <c r="X21" s="42" t="n"/>
      <c r="Y21" s="42" t="n"/>
      <c r="Z21" s="42" t="n">
        <v>1574</v>
      </c>
      <c r="AA21" s="42" t="n"/>
      <c r="AB21" s="42" t="n"/>
      <c r="AC21" s="42" t="n"/>
      <c r="AD21" s="42" t="n"/>
      <c r="AE21" s="43">
        <f>SUM(L21:AD21)</f>
        <v/>
      </c>
      <c r="AF21" s="44">
        <f>J21*AE21</f>
        <v/>
      </c>
      <c r="AG21" s="191" t="n"/>
      <c r="AH21" s="1749" t="n">
        <v>1438</v>
      </c>
      <c r="AI21" s="1749" t="n">
        <v>0</v>
      </c>
      <c r="AJ21" s="1749">
        <f>SUM(AK21:AK23)</f>
        <v/>
      </c>
      <c r="AK21" s="45" t="n">
        <v>0</v>
      </c>
    </row>
    <row r="22" ht="30" customHeight="1">
      <c r="A22" s="1578" t="n"/>
      <c r="B22" s="48" t="inlineStr">
        <is>
          <t>IP01</t>
        </is>
      </c>
      <c r="C22" s="49" t="inlineStr">
        <is>
          <t>FGA11</t>
        </is>
      </c>
      <c r="D22" s="50" t="inlineStr">
        <is>
          <t>NIKE P-6000 (TD)</t>
        </is>
      </c>
      <c r="E22" s="49" t="inlineStr">
        <is>
          <t>IO4646-023</t>
        </is>
      </c>
      <c r="F22" s="51" t="inlineStr">
        <is>
          <t>SUMMIT WHITE</t>
        </is>
      </c>
      <c r="G22" s="52" t="inlineStr">
        <is>
          <t>NO</t>
        </is>
      </c>
      <c r="H22" s="53" t="inlineStr">
        <is>
          <t>NO</t>
        </is>
      </c>
      <c r="I22" s="54" t="inlineStr">
        <is>
          <t>LCIP 003</t>
        </is>
      </c>
      <c r="J22" s="1742" t="n">
        <v>0.0704</v>
      </c>
      <c r="K22" s="56" t="inlineStr">
        <is>
          <t>TD</t>
        </is>
      </c>
      <c r="L22" s="1743" t="n"/>
      <c r="M22" s="1743" t="n"/>
      <c r="N22" s="1743" t="n"/>
      <c r="O22" s="1743" t="n"/>
      <c r="P22" s="1743" t="n"/>
      <c r="Q22" s="1743" t="n"/>
      <c r="R22" s="1743" t="n"/>
      <c r="S22" s="1743" t="n"/>
      <c r="T22" s="1743" t="n"/>
      <c r="U22" s="1743" t="n"/>
      <c r="V22" s="58" t="n"/>
      <c r="W22" s="58" t="n"/>
      <c r="X22" s="58" t="n"/>
      <c r="Y22" s="58" t="n">
        <v>1848</v>
      </c>
      <c r="Z22" s="58" t="n">
        <v>274</v>
      </c>
      <c r="AA22" s="58" t="n"/>
      <c r="AB22" s="58" t="n"/>
      <c r="AC22" s="58" t="n"/>
      <c r="AD22" s="58" t="n"/>
      <c r="AE22" s="46">
        <f>SUM(L22:AD22)</f>
        <v/>
      </c>
      <c r="AF22" s="47">
        <f>J22*AE22</f>
        <v/>
      </c>
      <c r="AG22" s="192" t="n"/>
      <c r="AH22" s="1745" t="n"/>
      <c r="AI22" s="1745" t="n"/>
      <c r="AJ22" s="1745" t="n"/>
      <c r="AK22" s="1576" t="n">
        <v>0</v>
      </c>
    </row>
    <row r="23" ht="30" customHeight="1" thickBot="1">
      <c r="A23" s="1578" t="n"/>
      <c r="B23" s="95" t="inlineStr">
        <is>
          <t>IP01</t>
        </is>
      </c>
      <c r="C23" s="96" t="inlineStr">
        <is>
          <t>FGA11</t>
        </is>
      </c>
      <c r="D23" s="97" t="inlineStr">
        <is>
          <t>NIKE P-6000 RPS (TD)</t>
        </is>
      </c>
      <c r="E23" s="96" t="inlineStr">
        <is>
          <t>IV5478-200</t>
        </is>
      </c>
      <c r="F23" s="98" t="inlineStr">
        <is>
          <t>IRON GREY</t>
        </is>
      </c>
      <c r="G23" s="99" t="inlineStr">
        <is>
          <t>NO</t>
        </is>
      </c>
      <c r="H23" s="100" t="inlineStr">
        <is>
          <t>NO</t>
        </is>
      </c>
      <c r="I23" s="101" t="inlineStr">
        <is>
          <t>LCIP 003</t>
        </is>
      </c>
      <c r="J23" s="1750" t="n">
        <v>0.0704</v>
      </c>
      <c r="K23" s="103" t="inlineStr">
        <is>
          <t>TD</t>
        </is>
      </c>
      <c r="L23" s="1751" t="n">
        <v>0</v>
      </c>
      <c r="M23" s="1751" t="n"/>
      <c r="N23" s="1751" t="n"/>
      <c r="O23" s="1751" t="n"/>
      <c r="P23" s="1751" t="n"/>
      <c r="Q23" s="1751" t="n"/>
      <c r="R23" s="1751" t="n"/>
      <c r="S23" s="1751" t="n">
        <v>0</v>
      </c>
      <c r="T23" s="1751" t="n">
        <v>228</v>
      </c>
      <c r="U23" s="1751" t="n">
        <v>1122</v>
      </c>
      <c r="V23" s="105" t="n">
        <v>1526</v>
      </c>
      <c r="W23" s="105" t="n">
        <v>1610</v>
      </c>
      <c r="X23" s="105" t="n">
        <v>881</v>
      </c>
      <c r="Y23" s="105" t="n"/>
      <c r="Z23" s="105" t="n"/>
      <c r="AA23" s="105" t="n"/>
      <c r="AB23" s="105" t="n"/>
      <c r="AC23" s="105" t="n"/>
      <c r="AD23" s="105" t="n"/>
      <c r="AE23" s="106">
        <f>SUM(L23:AD23)</f>
        <v/>
      </c>
      <c r="AF23" s="107">
        <f>J23*AE23</f>
        <v/>
      </c>
      <c r="AG23" s="196" t="n"/>
      <c r="AH23" s="1752" t="n"/>
      <c r="AI23" s="1752" t="n"/>
      <c r="AJ23" s="1752" t="n"/>
      <c r="AK23" s="108" t="n">
        <v>2922</v>
      </c>
    </row>
    <row r="24" ht="30" customHeight="1">
      <c r="A24" s="1577" t="inlineStr">
        <is>
          <t>B</t>
        </is>
      </c>
      <c r="B24" s="75" t="inlineStr">
        <is>
          <t>IP02</t>
        </is>
      </c>
      <c r="C24" s="76" t="inlineStr">
        <is>
          <t>FGA17</t>
        </is>
      </c>
      <c r="D24" s="77" t="inlineStr">
        <is>
          <t>W NIKE LEGEND ESSENTIAL 3 NN</t>
        </is>
      </c>
      <c r="E24" s="76" t="inlineStr">
        <is>
          <t>DM1119-001</t>
        </is>
      </c>
      <c r="F24" s="78" t="inlineStr">
        <is>
          <t>WHITE</t>
        </is>
      </c>
      <c r="G24" s="79" t="inlineStr">
        <is>
          <t>NO</t>
        </is>
      </c>
      <c r="H24" s="80" t="inlineStr">
        <is>
          <t>NO</t>
        </is>
      </c>
      <c r="I24" s="81" t="inlineStr">
        <is>
          <t>LCIP 024</t>
        </is>
      </c>
      <c r="J24" s="1753" t="n">
        <v>0.145</v>
      </c>
      <c r="K24" s="83" t="inlineStr">
        <is>
          <t>WO</t>
        </is>
      </c>
      <c r="L24" s="1754" t="n">
        <v>0</v>
      </c>
      <c r="M24" s="1754" t="n"/>
      <c r="N24" s="1754" t="n"/>
      <c r="O24" s="1754" t="n">
        <v>0</v>
      </c>
      <c r="P24" s="1754" t="n">
        <v>0</v>
      </c>
      <c r="Q24" s="1754" t="n">
        <v>0</v>
      </c>
      <c r="R24" s="1754" t="n"/>
      <c r="S24" s="1754" t="n"/>
      <c r="T24" s="1754" t="n"/>
      <c r="U24" s="1754" t="n">
        <v>324</v>
      </c>
      <c r="V24" s="85" t="n">
        <v>1044</v>
      </c>
      <c r="W24" s="85" t="n">
        <v>2196</v>
      </c>
      <c r="X24" s="85" t="n">
        <v>1680</v>
      </c>
      <c r="Y24" s="85" t="n">
        <v>2364</v>
      </c>
      <c r="Z24" s="85" t="n">
        <v>365</v>
      </c>
      <c r="AA24" s="85" t="n"/>
      <c r="AB24" s="85" t="n"/>
      <c r="AC24" s="85" t="n"/>
      <c r="AD24" s="85" t="n"/>
      <c r="AE24" s="86">
        <f>SUM(L24:AD24)</f>
        <v/>
      </c>
      <c r="AF24" s="87">
        <f>J24*AE24</f>
        <v/>
      </c>
      <c r="AG24" s="194" t="n"/>
      <c r="AH24" s="1755" t="n">
        <v>3069</v>
      </c>
      <c r="AI24" s="1755">
        <f>408+48+972+1284+132+1104+110+12</f>
        <v/>
      </c>
      <c r="AJ24" s="1755">
        <f>SUM(AK24:AK27)</f>
        <v/>
      </c>
      <c r="AK24" s="247" t="n">
        <v>12</v>
      </c>
    </row>
    <row r="25" ht="30" customHeight="1">
      <c r="A25" s="1738" t="n"/>
      <c r="B25" s="48" t="inlineStr">
        <is>
          <t>IP02</t>
        </is>
      </c>
      <c r="C25" s="49" t="inlineStr">
        <is>
          <t>FGA17</t>
        </is>
      </c>
      <c r="D25" s="50" t="inlineStr">
        <is>
          <t>W NIKE LEGEND ESSENTIAL 3 NN</t>
        </is>
      </c>
      <c r="E25" s="49" t="inlineStr">
        <is>
          <t>DM1119-004</t>
        </is>
      </c>
      <c r="F25" s="51" t="inlineStr">
        <is>
          <t>WHITE</t>
        </is>
      </c>
      <c r="G25" s="52" t="inlineStr">
        <is>
          <t>NO</t>
        </is>
      </c>
      <c r="H25" s="53" t="inlineStr">
        <is>
          <t>NO</t>
        </is>
      </c>
      <c r="I25" s="54" t="inlineStr">
        <is>
          <t>LCIP 024</t>
        </is>
      </c>
      <c r="J25" s="1742" t="n">
        <v>0.145</v>
      </c>
      <c r="K25" s="56" t="inlineStr">
        <is>
          <t>WO</t>
        </is>
      </c>
      <c r="L25" s="1743" t="n"/>
      <c r="M25" s="1743" t="n"/>
      <c r="N25" s="1743" t="n"/>
      <c r="O25" s="1743" t="n"/>
      <c r="P25" s="1743" t="n">
        <v>0</v>
      </c>
      <c r="Q25" s="1743" t="n">
        <v>0</v>
      </c>
      <c r="R25" s="1743" t="n">
        <v>0</v>
      </c>
      <c r="S25" s="1743" t="n">
        <v>24</v>
      </c>
      <c r="T25" s="1743" t="n">
        <v>0</v>
      </c>
      <c r="U25" s="1743" t="n"/>
      <c r="V25" s="58" t="n"/>
      <c r="W25" s="58" t="n"/>
      <c r="X25" s="58" t="n"/>
      <c r="Y25" s="58" t="n"/>
      <c r="Z25" s="58" t="n"/>
      <c r="AA25" s="58" t="n"/>
      <c r="AB25" s="58" t="n"/>
      <c r="AC25" s="58" t="n"/>
      <c r="AD25" s="58" t="n"/>
      <c r="AE25" s="46">
        <f>SUM(L25:AD25)</f>
        <v/>
      </c>
      <c r="AF25" s="47">
        <f>J25*AE25</f>
        <v/>
      </c>
      <c r="AG25" s="192" t="inlineStr">
        <is>
          <t>FINISH ORDER CHANGE STYLE</t>
        </is>
      </c>
      <c r="AH25" s="1745" t="n"/>
      <c r="AI25" s="1745" t="n"/>
      <c r="AJ25" s="1745" t="n"/>
      <c r="AK25" s="1576" t="n">
        <v>3364</v>
      </c>
    </row>
    <row r="26" ht="30" customHeight="1">
      <c r="A26" s="1738" t="n"/>
      <c r="B26" s="48" t="inlineStr">
        <is>
          <t>IP02</t>
        </is>
      </c>
      <c r="C26" s="49" t="inlineStr">
        <is>
          <t>FGA17</t>
        </is>
      </c>
      <c r="D26" s="50" t="inlineStr">
        <is>
          <t>M NIKE LEGEND ESSENTIAL 3 NN</t>
        </is>
      </c>
      <c r="E26" s="49" t="inlineStr">
        <is>
          <t>DM1120-001</t>
        </is>
      </c>
      <c r="F26" s="51" t="inlineStr">
        <is>
          <t>WHITE</t>
        </is>
      </c>
      <c r="G26" s="52" t="inlineStr">
        <is>
          <t>NO</t>
        </is>
      </c>
      <c r="H26" s="53" t="inlineStr">
        <is>
          <t>NO</t>
        </is>
      </c>
      <c r="I26" s="54" t="inlineStr">
        <is>
          <t>BIP 024</t>
        </is>
      </c>
      <c r="J26" s="1742" t="n">
        <v>0.187</v>
      </c>
      <c r="K26" s="56" t="inlineStr">
        <is>
          <t>ME</t>
        </is>
      </c>
      <c r="L26" s="1743" t="n">
        <v>0</v>
      </c>
      <c r="M26" s="1743" t="n">
        <v>0</v>
      </c>
      <c r="N26" s="1743" t="n"/>
      <c r="O26" s="1743" t="n"/>
      <c r="P26" s="1743" t="n"/>
      <c r="Q26" s="1743" t="n"/>
      <c r="R26" s="1743" t="n"/>
      <c r="S26" s="1743" t="n"/>
      <c r="T26" s="1743" t="n">
        <v>226</v>
      </c>
      <c r="U26" s="1743" t="n">
        <v>411</v>
      </c>
      <c r="V26" s="58" t="n"/>
      <c r="W26" s="58" t="n"/>
      <c r="X26" s="58" t="n"/>
      <c r="Y26" s="58" t="n"/>
      <c r="Z26" s="58" t="n"/>
      <c r="AA26" s="58" t="n"/>
      <c r="AB26" s="58" t="n"/>
      <c r="AC26" s="58" t="n"/>
      <c r="AD26" s="58" t="n"/>
      <c r="AE26" s="46">
        <f>SUM(L26:AD26)</f>
        <v/>
      </c>
      <c r="AF26" s="47">
        <f>J26*AE26</f>
        <v/>
      </c>
      <c r="AG26" s="192" t="inlineStr">
        <is>
          <t>FINISH ORDER CHANGE STYLE</t>
        </is>
      </c>
      <c r="AH26" s="1745" t="n"/>
      <c r="AI26" s="1745" t="n"/>
      <c r="AJ26" s="1745" t="n"/>
      <c r="AK26" s="1576" t="n">
        <v>60</v>
      </c>
    </row>
    <row r="27" ht="30" customHeight="1" thickBot="1">
      <c r="A27" s="1738" t="n"/>
      <c r="B27" s="60" t="inlineStr">
        <is>
          <t>IP02</t>
        </is>
      </c>
      <c r="C27" s="61" t="inlineStr">
        <is>
          <t>FGA17</t>
        </is>
      </c>
      <c r="D27" s="62" t="inlineStr">
        <is>
          <t>M NIKE LEGEND ESSENTIAL 3 NN</t>
        </is>
      </c>
      <c r="E27" s="61" t="inlineStr">
        <is>
          <t>DM1120-402</t>
        </is>
      </c>
      <c r="F27" s="63" t="inlineStr">
        <is>
          <t>WHITE</t>
        </is>
      </c>
      <c r="G27" s="64" t="inlineStr">
        <is>
          <t>NO</t>
        </is>
      </c>
      <c r="H27" s="65" t="inlineStr">
        <is>
          <t>NO</t>
        </is>
      </c>
      <c r="I27" s="66" t="inlineStr">
        <is>
          <t>BIP 024</t>
        </is>
      </c>
      <c r="J27" s="1739" t="n">
        <v>0.187</v>
      </c>
      <c r="K27" s="68" t="inlineStr">
        <is>
          <t>ME</t>
        </is>
      </c>
      <c r="L27" s="1740" t="n"/>
      <c r="M27" s="1740" t="n"/>
      <c r="N27" s="1740" t="n"/>
      <c r="O27" s="1740" t="n"/>
      <c r="P27" s="1740" t="n"/>
      <c r="Q27" s="1740" t="n"/>
      <c r="R27" s="1740" t="n"/>
      <c r="S27" s="1740" t="n"/>
      <c r="T27" s="1740" t="n"/>
      <c r="U27" s="1740" t="n"/>
      <c r="V27" s="70" t="n"/>
      <c r="W27" s="70" t="n"/>
      <c r="X27" s="70" t="n"/>
      <c r="Y27" s="70" t="n"/>
      <c r="Z27" s="70" t="n">
        <v>1999</v>
      </c>
      <c r="AA27" s="70" t="n"/>
      <c r="AB27" s="70" t="n"/>
      <c r="AC27" s="70" t="n"/>
      <c r="AD27" s="70" t="n"/>
      <c r="AE27" s="71">
        <f>SUM(L27:AD27)</f>
        <v/>
      </c>
      <c r="AF27" s="72">
        <f>J27*AE27</f>
        <v/>
      </c>
      <c r="AG27" s="193" t="n"/>
      <c r="AH27" s="1741" t="n"/>
      <c r="AI27" s="1741" t="n"/>
      <c r="AJ27" s="1741" t="n"/>
      <c r="AK27" s="73" t="n">
        <v>0</v>
      </c>
    </row>
    <row r="28" ht="30" customHeight="1">
      <c r="A28" s="1738" t="n"/>
      <c r="B28" s="32" t="inlineStr">
        <is>
          <t>IP02</t>
        </is>
      </c>
      <c r="C28" s="33" t="inlineStr">
        <is>
          <t>FGA18</t>
        </is>
      </c>
      <c r="D28" s="34" t="inlineStr">
        <is>
          <t xml:space="preserve"> NIKE COMFORT RIDE EASYON TOE</t>
        </is>
      </c>
      <c r="E28" s="33" t="inlineStr">
        <is>
          <t>IF4997-011</t>
        </is>
      </c>
      <c r="F28" s="35" t="inlineStr">
        <is>
          <t>PHANTOM</t>
        </is>
      </c>
      <c r="G28" s="36" t="inlineStr">
        <is>
          <t>NO</t>
        </is>
      </c>
      <c r="H28" s="37" t="inlineStr">
        <is>
          <t>NO</t>
        </is>
      </c>
      <c r="I28" s="145" t="inlineStr">
        <is>
          <t>OEF 007</t>
        </is>
      </c>
      <c r="J28" s="1756" t="n">
        <v>0.0515</v>
      </c>
      <c r="K28" s="128" t="inlineStr">
        <is>
          <t>ME</t>
        </is>
      </c>
      <c r="L28" s="1747" t="n"/>
      <c r="M28" s="1747" t="n"/>
      <c r="N28" s="1747" t="n"/>
      <c r="O28" s="1747" t="n"/>
      <c r="P28" s="1747" t="n"/>
      <c r="Q28" s="1747" t="n"/>
      <c r="R28" s="1747" t="n"/>
      <c r="S28" s="1747" t="n"/>
      <c r="T28" s="1747" t="n"/>
      <c r="U28" s="1747" t="n"/>
      <c r="V28" s="42" t="n"/>
      <c r="W28" s="42" t="n"/>
      <c r="X28" s="42" t="n"/>
      <c r="Y28" s="42" t="n"/>
      <c r="Z28" s="42" t="n">
        <v>360</v>
      </c>
      <c r="AA28" s="42" t="n"/>
      <c r="AB28" s="42" t="n"/>
      <c r="AC28" s="42" t="n"/>
      <c r="AD28" s="42" t="n"/>
      <c r="AE28" s="43">
        <f>SUM(L28:AD28)</f>
        <v/>
      </c>
      <c r="AF28" s="44">
        <f>J28*AE28</f>
        <v/>
      </c>
      <c r="AG28" s="191" t="n"/>
      <c r="AH28" s="1749" t="n">
        <v>7289</v>
      </c>
      <c r="AI28" s="1749">
        <f>24+9+168</f>
        <v/>
      </c>
      <c r="AJ28" s="1749">
        <f>SUM(AK28:AK55)</f>
        <v/>
      </c>
      <c r="AK28" s="45" t="n">
        <v>908</v>
      </c>
    </row>
    <row r="29" ht="30" customHeight="1">
      <c r="A29" s="1738" t="n"/>
      <c r="B29" s="48" t="inlineStr">
        <is>
          <t>IP03</t>
        </is>
      </c>
      <c r="C29" s="49" t="inlineStr">
        <is>
          <t>FGA18</t>
        </is>
      </c>
      <c r="D29" s="50" t="inlineStr">
        <is>
          <t xml:space="preserve"> NIKE COMFORT RIDE EASYON HEEL</t>
        </is>
      </c>
      <c r="E29" s="49" t="inlineStr">
        <is>
          <t>IF4997-011</t>
        </is>
      </c>
      <c r="F29" s="51" t="inlineStr">
        <is>
          <t>PHANTOM</t>
        </is>
      </c>
      <c r="G29" s="52" t="inlineStr">
        <is>
          <t>NO</t>
        </is>
      </c>
      <c r="H29" s="53" t="inlineStr">
        <is>
          <t>NO</t>
        </is>
      </c>
      <c r="I29" s="24" t="inlineStr">
        <is>
          <t>OEF 007</t>
        </is>
      </c>
      <c r="J29" s="1736" t="n">
        <v>0.045</v>
      </c>
      <c r="K29" s="26" t="inlineStr">
        <is>
          <t>ME</t>
        </is>
      </c>
      <c r="L29" s="1743" t="n"/>
      <c r="M29" s="1743" t="n"/>
      <c r="N29" s="1743" t="n"/>
      <c r="O29" s="1743" t="n"/>
      <c r="P29" s="1743" t="n"/>
      <c r="Q29" s="1743" t="n"/>
      <c r="R29" s="1743" t="n"/>
      <c r="S29" s="1743" t="n"/>
      <c r="T29" s="1743" t="n"/>
      <c r="U29" s="1743" t="n"/>
      <c r="V29" s="58" t="n"/>
      <c r="W29" s="58" t="n"/>
      <c r="X29" s="58" t="n"/>
      <c r="Y29" s="58" t="n"/>
      <c r="Z29" s="58" t="n">
        <v>360</v>
      </c>
      <c r="AA29" s="58" t="n"/>
      <c r="AB29" s="58" t="n"/>
      <c r="AC29" s="58" t="n"/>
      <c r="AD29" s="58" t="n"/>
      <c r="AE29" s="46">
        <f>SUM(L29:AD29)</f>
        <v/>
      </c>
      <c r="AF29" s="47">
        <f>J29*AE29</f>
        <v/>
      </c>
      <c r="AG29" s="192" t="n"/>
      <c r="AH29" s="1745" t="n"/>
      <c r="AI29" s="1745" t="n"/>
      <c r="AJ29" s="1745" t="n"/>
      <c r="AK29" s="1745" t="n"/>
    </row>
    <row r="30" ht="30" customHeight="1">
      <c r="A30" s="1738" t="n"/>
      <c r="B30" s="48" t="inlineStr">
        <is>
          <t>IP04</t>
        </is>
      </c>
      <c r="C30" s="49" t="inlineStr">
        <is>
          <t>FGA18</t>
        </is>
      </c>
      <c r="D30" s="50" t="inlineStr">
        <is>
          <t xml:space="preserve"> NIKE COMFORT RIDE EASYON CARRIER</t>
        </is>
      </c>
      <c r="E30" s="49" t="inlineStr">
        <is>
          <t>IF4997-011</t>
        </is>
      </c>
      <c r="F30" s="51" t="inlineStr">
        <is>
          <t>PHANTOM</t>
        </is>
      </c>
      <c r="G30" s="52" t="inlineStr">
        <is>
          <t>NO</t>
        </is>
      </c>
      <c r="H30" s="53" t="inlineStr">
        <is>
          <t>NO</t>
        </is>
      </c>
      <c r="I30" s="24" t="inlineStr">
        <is>
          <t>OEF 007</t>
        </is>
      </c>
      <c r="J30" s="1736" t="n">
        <v>0.0436</v>
      </c>
      <c r="K30" s="26" t="inlineStr">
        <is>
          <t>ME</t>
        </is>
      </c>
      <c r="L30" s="1743" t="n"/>
      <c r="M30" s="1743" t="n"/>
      <c r="N30" s="1743" t="n"/>
      <c r="O30" s="1743" t="n"/>
      <c r="P30" s="1743" t="n"/>
      <c r="Q30" s="1743" t="n"/>
      <c r="R30" s="1743" t="n"/>
      <c r="S30" s="1743" t="n"/>
      <c r="T30" s="1743" t="n"/>
      <c r="U30" s="1743" t="n"/>
      <c r="V30" s="58" t="n"/>
      <c r="W30" s="58" t="n"/>
      <c r="X30" s="58" t="n"/>
      <c r="Y30" s="58" t="n"/>
      <c r="Z30" s="58" t="n">
        <v>360</v>
      </c>
      <c r="AA30" s="58" t="n"/>
      <c r="AB30" s="58" t="n"/>
      <c r="AC30" s="58" t="n"/>
      <c r="AD30" s="58" t="n"/>
      <c r="AE30" s="46">
        <f>SUM(L30:AD30)</f>
        <v/>
      </c>
      <c r="AF30" s="47">
        <f>J30*AE30</f>
        <v/>
      </c>
      <c r="AG30" s="192" t="n"/>
      <c r="AH30" s="1745" t="n"/>
      <c r="AI30" s="1745" t="n"/>
      <c r="AJ30" s="1745" t="n"/>
      <c r="AK30" s="1745" t="n"/>
    </row>
    <row r="31" ht="30" customHeight="1">
      <c r="A31" s="1738" t="n"/>
      <c r="B31" s="48" t="inlineStr">
        <is>
          <t>IP05</t>
        </is>
      </c>
      <c r="C31" s="49" t="inlineStr">
        <is>
          <t>FGA18</t>
        </is>
      </c>
      <c r="D31" s="50" t="inlineStr">
        <is>
          <t xml:space="preserve"> NIKE COMFORT RIDE EASYON CORE</t>
        </is>
      </c>
      <c r="E31" s="49" t="inlineStr">
        <is>
          <t>IF4997-011</t>
        </is>
      </c>
      <c r="F31" s="51" t="inlineStr">
        <is>
          <t>SAIL</t>
        </is>
      </c>
      <c r="G31" s="52" t="inlineStr">
        <is>
          <t>NO</t>
        </is>
      </c>
      <c r="H31" s="53" t="inlineStr">
        <is>
          <t>NO</t>
        </is>
      </c>
      <c r="I31" s="24" t="inlineStr">
        <is>
          <t>OEF 007</t>
        </is>
      </c>
      <c r="J31" s="1736" t="n">
        <v>0.0122</v>
      </c>
      <c r="K31" s="26" t="inlineStr">
        <is>
          <t>ME</t>
        </is>
      </c>
      <c r="L31" s="1743" t="n"/>
      <c r="M31" s="1743" t="n"/>
      <c r="N31" s="1743" t="n"/>
      <c r="O31" s="1743" t="n"/>
      <c r="P31" s="1743" t="n"/>
      <c r="Q31" s="1743" t="n"/>
      <c r="R31" s="1743" t="n"/>
      <c r="S31" s="1743" t="n"/>
      <c r="T31" s="1743" t="n"/>
      <c r="U31" s="1743" t="n"/>
      <c r="V31" s="58" t="n"/>
      <c r="W31" s="58" t="n"/>
      <c r="X31" s="58" t="n"/>
      <c r="Y31" s="58" t="n"/>
      <c r="Z31" s="58" t="n">
        <v>360</v>
      </c>
      <c r="AA31" s="58" t="n"/>
      <c r="AB31" s="58" t="n"/>
      <c r="AC31" s="58" t="n"/>
      <c r="AD31" s="58" t="n"/>
      <c r="AE31" s="46">
        <f>SUM(L31:AD31)</f>
        <v/>
      </c>
      <c r="AF31" s="47">
        <f>J31*AE31</f>
        <v/>
      </c>
      <c r="AG31" s="192" t="n"/>
      <c r="AH31" s="1745" t="n"/>
      <c r="AI31" s="1745" t="n"/>
      <c r="AJ31" s="1745" t="n"/>
      <c r="AK31" s="1757" t="n"/>
    </row>
    <row r="32" ht="30" customHeight="1">
      <c r="A32" s="1738" t="n"/>
      <c r="B32" s="109" t="inlineStr">
        <is>
          <t>II92</t>
        </is>
      </c>
      <c r="C32" s="49" t="inlineStr">
        <is>
          <t>FGA18</t>
        </is>
      </c>
      <c r="D32" s="50" t="inlineStr">
        <is>
          <t>NIKE COMFORT RIDE EASYON CORE IPF</t>
        </is>
      </c>
      <c r="E32" s="117" t="inlineStr">
        <is>
          <t>IF4997-011</t>
        </is>
      </c>
      <c r="F32" s="51" t="inlineStr">
        <is>
          <t>SAIL</t>
        </is>
      </c>
      <c r="G32" s="52" t="inlineStr">
        <is>
          <t>NO</t>
        </is>
      </c>
      <c r="H32" s="53" t="inlineStr">
        <is>
          <t>NO</t>
        </is>
      </c>
      <c r="I32" s="112" t="inlineStr">
        <is>
          <t>IPF 003</t>
        </is>
      </c>
      <c r="J32" s="1758" t="n">
        <v>0.11</v>
      </c>
      <c r="K32" s="249" t="inlineStr">
        <is>
          <t>ME</t>
        </is>
      </c>
      <c r="L32" s="1743" t="n"/>
      <c r="M32" s="1743" t="n"/>
      <c r="N32" s="1743" t="n"/>
      <c r="O32" s="1743" t="n"/>
      <c r="P32" s="1743" t="n"/>
      <c r="Q32" s="1743" t="n"/>
      <c r="R32" s="1743" t="n"/>
      <c r="S32" s="1743" t="n"/>
      <c r="T32" s="1743" t="n"/>
      <c r="U32" s="1743" t="n"/>
      <c r="V32" s="58" t="n"/>
      <c r="W32" s="58" t="n"/>
      <c r="X32" s="58" t="n"/>
      <c r="Y32" s="58" t="n"/>
      <c r="Z32" s="58" t="n">
        <v>360</v>
      </c>
      <c r="AA32" s="58" t="n"/>
      <c r="AB32" s="58" t="n"/>
      <c r="AC32" s="58" t="n"/>
      <c r="AD32" s="58" t="n"/>
      <c r="AE32" s="46">
        <f>SUM(L32:AD32)</f>
        <v/>
      </c>
      <c r="AF32" s="47">
        <f>J32*AE32</f>
        <v/>
      </c>
      <c r="AG32" s="192" t="n"/>
      <c r="AH32" s="1745" t="n"/>
      <c r="AI32" s="1745" t="n"/>
      <c r="AJ32" s="1745" t="n"/>
      <c r="AK32" s="1576" t="n">
        <v>284</v>
      </c>
    </row>
    <row r="33" ht="30" customHeight="1">
      <c r="A33" s="1342" t="n"/>
      <c r="B33" s="109" t="inlineStr">
        <is>
          <t>II93</t>
        </is>
      </c>
      <c r="C33" s="49" t="inlineStr">
        <is>
          <t>FGA18</t>
        </is>
      </c>
      <c r="D33" s="50" t="inlineStr">
        <is>
          <t xml:space="preserve"> NIKE COMFORT RIDE EASYON CARRIER IPF</t>
        </is>
      </c>
      <c r="E33" s="117" t="inlineStr">
        <is>
          <t>IF4997-011</t>
        </is>
      </c>
      <c r="F33" s="51" t="inlineStr">
        <is>
          <t>PHANTOM</t>
        </is>
      </c>
      <c r="G33" s="52" t="inlineStr">
        <is>
          <t>SUMMIT WHITE</t>
        </is>
      </c>
      <c r="H33" s="53" t="inlineStr">
        <is>
          <t>NO</t>
        </is>
      </c>
      <c r="I33" s="112" t="inlineStr">
        <is>
          <t>IPF 003</t>
        </is>
      </c>
      <c r="J33" s="1758" t="n">
        <v>0.1904</v>
      </c>
      <c r="K33" s="249" t="inlineStr">
        <is>
          <t>ME</t>
        </is>
      </c>
      <c r="L33" s="1743" t="n"/>
      <c r="M33" s="1743" t="n"/>
      <c r="N33" s="1743" t="n"/>
      <c r="O33" s="1743" t="n"/>
      <c r="P33" s="1743" t="n"/>
      <c r="Q33" s="1743" t="n"/>
      <c r="R33" s="1743" t="n"/>
      <c r="S33" s="1743" t="n"/>
      <c r="T33" s="1743" t="n"/>
      <c r="U33" s="1743" t="n"/>
      <c r="V33" s="58" t="n"/>
      <c r="W33" s="58" t="n"/>
      <c r="X33" s="58" t="n"/>
      <c r="Y33" s="58" t="n"/>
      <c r="Z33" s="58" t="n">
        <v>360</v>
      </c>
      <c r="AA33" s="58" t="n"/>
      <c r="AB33" s="58" t="n"/>
      <c r="AC33" s="58" t="n"/>
      <c r="AD33" s="58" t="n"/>
      <c r="AE33" s="46">
        <f>SUM(L33:AD33)</f>
        <v/>
      </c>
      <c r="AF33" s="47">
        <f>J33*AE33</f>
        <v/>
      </c>
      <c r="AG33" s="192" t="n"/>
      <c r="AH33" s="1745" t="n"/>
      <c r="AI33" s="1745" t="n"/>
      <c r="AJ33" s="1745" t="n"/>
      <c r="AK33" s="1757" t="n"/>
    </row>
    <row r="34" ht="30" customHeight="1">
      <c r="A34" s="1342" t="n"/>
      <c r="B34" s="143" t="inlineStr">
        <is>
          <t>IP02</t>
        </is>
      </c>
      <c r="C34" s="124" t="inlineStr">
        <is>
          <t>FGA18</t>
        </is>
      </c>
      <c r="D34" s="245" t="inlineStr">
        <is>
          <t xml:space="preserve"> NIKE COMFORT RIDE EASYON TOE</t>
        </is>
      </c>
      <c r="E34" s="124" t="inlineStr">
        <is>
          <t>IF4997-013</t>
        </is>
      </c>
      <c r="F34" s="125" t="inlineStr">
        <is>
          <t>BLACK</t>
        </is>
      </c>
      <c r="G34" s="126" t="inlineStr">
        <is>
          <t>NO</t>
        </is>
      </c>
      <c r="H34" s="246" t="inlineStr">
        <is>
          <t>NO</t>
        </is>
      </c>
      <c r="I34" s="145" t="inlineStr">
        <is>
          <t>OEF 007</t>
        </is>
      </c>
      <c r="J34" s="1756" t="n">
        <v>0.0515</v>
      </c>
      <c r="K34" s="128" t="inlineStr">
        <is>
          <t>ME</t>
        </is>
      </c>
      <c r="L34" s="1759" t="n">
        <v>0</v>
      </c>
      <c r="M34" s="1759" t="n">
        <v>0</v>
      </c>
      <c r="N34" s="1759" t="n"/>
      <c r="O34" s="1759" t="n"/>
      <c r="P34" s="1759" t="n"/>
      <c r="Q34" s="1759" t="n"/>
      <c r="R34" s="1759" t="n"/>
      <c r="S34" s="1759" t="n"/>
      <c r="T34" s="1759" t="n"/>
      <c r="U34" s="1759" t="n"/>
      <c r="V34" s="130" t="n"/>
      <c r="W34" s="130" t="n"/>
      <c r="X34" s="130" t="n">
        <v>181</v>
      </c>
      <c r="Y34" s="130" t="n">
        <v>951</v>
      </c>
      <c r="Z34" s="130" t="n">
        <v>840</v>
      </c>
      <c r="AA34" s="130" t="n"/>
      <c r="AB34" s="130" t="n"/>
      <c r="AC34" s="130" t="n"/>
      <c r="AD34" s="130" t="n"/>
      <c r="AE34" s="207">
        <f>SUM(L34:AD34)</f>
        <v/>
      </c>
      <c r="AF34" s="131">
        <f>J34*AE34</f>
        <v/>
      </c>
      <c r="AG34" s="198" t="n"/>
      <c r="AH34" s="1745" t="n"/>
      <c r="AI34" s="1745" t="n"/>
      <c r="AJ34" s="1745" t="n"/>
      <c r="AK34" s="1568" t="n">
        <v>0</v>
      </c>
    </row>
    <row r="35" ht="30" customHeight="1">
      <c r="A35" s="1342" t="n"/>
      <c r="B35" s="113" t="inlineStr">
        <is>
          <t>IP03</t>
        </is>
      </c>
      <c r="C35" s="19" t="inlineStr">
        <is>
          <t>FGA18</t>
        </is>
      </c>
      <c r="D35" s="20" t="inlineStr">
        <is>
          <t xml:space="preserve"> NIKE COMFORT RIDE EASYON HEEL</t>
        </is>
      </c>
      <c r="E35" s="19" t="inlineStr">
        <is>
          <t>IF4997-013</t>
        </is>
      </c>
      <c r="F35" s="21" t="inlineStr">
        <is>
          <t>BLACK</t>
        </is>
      </c>
      <c r="G35" s="22" t="inlineStr">
        <is>
          <t>NO</t>
        </is>
      </c>
      <c r="H35" s="23" t="inlineStr">
        <is>
          <t>NO</t>
        </is>
      </c>
      <c r="I35" s="24" t="inlineStr">
        <is>
          <t>OEF 007</t>
        </is>
      </c>
      <c r="J35" s="1736" t="n">
        <v>0.045</v>
      </c>
      <c r="K35" s="26" t="inlineStr">
        <is>
          <t>ME</t>
        </is>
      </c>
      <c r="L35" s="1737" t="n">
        <v>0</v>
      </c>
      <c r="M35" s="1737" t="n">
        <v>0</v>
      </c>
      <c r="N35" s="1737" t="n"/>
      <c r="O35" s="1737" t="n"/>
      <c r="P35" s="1737" t="n"/>
      <c r="Q35" s="1737" t="n"/>
      <c r="R35" s="1737" t="n"/>
      <c r="S35" s="1737" t="n"/>
      <c r="T35" s="1737" t="n"/>
      <c r="U35" s="1737" t="n"/>
      <c r="V35" s="28" t="n"/>
      <c r="W35" s="28" t="n"/>
      <c r="X35" s="28" t="n">
        <v>181</v>
      </c>
      <c r="Y35" s="28" t="n">
        <v>951</v>
      </c>
      <c r="Z35" s="28" t="n">
        <v>840</v>
      </c>
      <c r="AA35" s="28" t="n"/>
      <c r="AB35" s="28" t="n"/>
      <c r="AC35" s="28" t="n"/>
      <c r="AD35" s="28" t="n"/>
      <c r="AE35" s="29">
        <f>SUM(L35:AD35)</f>
        <v/>
      </c>
      <c r="AF35" s="30">
        <f>J35*AE35</f>
        <v/>
      </c>
      <c r="AG35" s="190" t="n"/>
      <c r="AH35" s="1745" t="n"/>
      <c r="AI35" s="1745" t="n"/>
      <c r="AJ35" s="1745" t="n"/>
      <c r="AK35" s="1745" t="n"/>
    </row>
    <row r="36" ht="30" customHeight="1">
      <c r="A36" s="1342" t="n"/>
      <c r="B36" s="113" t="inlineStr">
        <is>
          <t>IP04</t>
        </is>
      </c>
      <c r="C36" s="19" t="inlineStr">
        <is>
          <t>FGA18</t>
        </is>
      </c>
      <c r="D36" s="20" t="inlineStr">
        <is>
          <t xml:space="preserve"> NIKE COMFORT RIDE EASYON CARRIER</t>
        </is>
      </c>
      <c r="E36" s="19" t="inlineStr">
        <is>
          <t>IF4997-013</t>
        </is>
      </c>
      <c r="F36" s="21" t="inlineStr">
        <is>
          <t>BLACK</t>
        </is>
      </c>
      <c r="G36" s="22" t="inlineStr">
        <is>
          <t>NO</t>
        </is>
      </c>
      <c r="H36" s="23" t="inlineStr">
        <is>
          <t>NO</t>
        </is>
      </c>
      <c r="I36" s="24" t="inlineStr">
        <is>
          <t>OEF 007</t>
        </is>
      </c>
      <c r="J36" s="1736" t="n">
        <v>0.0436</v>
      </c>
      <c r="K36" s="26" t="inlineStr">
        <is>
          <t>ME</t>
        </is>
      </c>
      <c r="L36" s="1737" t="n">
        <v>0</v>
      </c>
      <c r="M36" s="1737" t="n">
        <v>0</v>
      </c>
      <c r="N36" s="1737" t="n"/>
      <c r="O36" s="1737" t="n"/>
      <c r="P36" s="1737" t="n"/>
      <c r="Q36" s="1737" t="n"/>
      <c r="R36" s="1737" t="n"/>
      <c r="S36" s="1737" t="n"/>
      <c r="T36" s="1737" t="n"/>
      <c r="U36" s="1737" t="n"/>
      <c r="V36" s="28" t="n"/>
      <c r="W36" s="28" t="n"/>
      <c r="X36" s="28" t="n">
        <v>181</v>
      </c>
      <c r="Y36" s="28" t="n">
        <v>951</v>
      </c>
      <c r="Z36" s="28" t="n">
        <v>840</v>
      </c>
      <c r="AA36" s="28" t="n"/>
      <c r="AB36" s="28" t="n"/>
      <c r="AC36" s="28" t="n"/>
      <c r="AD36" s="28" t="n"/>
      <c r="AE36" s="29">
        <f>SUM(L36:AD36)</f>
        <v/>
      </c>
      <c r="AF36" s="30">
        <f>J36*AE36</f>
        <v/>
      </c>
      <c r="AG36" s="190" t="n"/>
      <c r="AH36" s="1745" t="n"/>
      <c r="AI36" s="1745" t="n"/>
      <c r="AJ36" s="1745" t="n"/>
      <c r="AK36" s="1745" t="n"/>
    </row>
    <row r="37" ht="30" customHeight="1">
      <c r="A37" s="1342" t="n"/>
      <c r="B37" s="113" t="inlineStr">
        <is>
          <t>IP05</t>
        </is>
      </c>
      <c r="C37" s="19" t="inlineStr">
        <is>
          <t>FGA18</t>
        </is>
      </c>
      <c r="D37" s="20" t="inlineStr">
        <is>
          <t xml:space="preserve"> NIKE COMFORT RIDE EASYON CORE</t>
        </is>
      </c>
      <c r="E37" s="19" t="inlineStr">
        <is>
          <t>IF4997-013</t>
        </is>
      </c>
      <c r="F37" s="21" t="inlineStr">
        <is>
          <t>VOLT</t>
        </is>
      </c>
      <c r="G37" s="22" t="inlineStr">
        <is>
          <t>NO</t>
        </is>
      </c>
      <c r="H37" s="23" t="inlineStr">
        <is>
          <t>NO</t>
        </is>
      </c>
      <c r="I37" s="24" t="inlineStr">
        <is>
          <t>OEF 007</t>
        </is>
      </c>
      <c r="J37" s="1736" t="n">
        <v>0.0122</v>
      </c>
      <c r="K37" s="26" t="inlineStr">
        <is>
          <t>ME</t>
        </is>
      </c>
      <c r="L37" s="1737" t="n">
        <v>0</v>
      </c>
      <c r="M37" s="1737" t="n">
        <v>0</v>
      </c>
      <c r="N37" s="1737" t="n"/>
      <c r="O37" s="1737" t="n"/>
      <c r="P37" s="1737" t="n"/>
      <c r="Q37" s="1737" t="n"/>
      <c r="R37" s="1737" t="n"/>
      <c r="S37" s="1737" t="n"/>
      <c r="T37" s="1737" t="n"/>
      <c r="U37" s="1737" t="n"/>
      <c r="V37" s="28" t="n"/>
      <c r="W37" s="28" t="n"/>
      <c r="X37" s="28" t="n">
        <v>181</v>
      </c>
      <c r="Y37" s="28" t="n">
        <v>951</v>
      </c>
      <c r="Z37" s="28" t="n">
        <v>840</v>
      </c>
      <c r="AA37" s="28" t="n"/>
      <c r="AB37" s="28" t="n"/>
      <c r="AC37" s="28" t="n"/>
      <c r="AD37" s="28" t="n"/>
      <c r="AE37" s="29">
        <f>SUM(L37:AD37)</f>
        <v/>
      </c>
      <c r="AF37" s="30">
        <f>J37*AE37</f>
        <v/>
      </c>
      <c r="AG37" s="190" t="n"/>
      <c r="AH37" s="1745" t="n"/>
      <c r="AI37" s="1745" t="n"/>
      <c r="AJ37" s="1745" t="n"/>
      <c r="AK37" s="1757" t="n"/>
    </row>
    <row r="38" ht="30" customHeight="1">
      <c r="A38" s="1342" t="n"/>
      <c r="B38" s="111" t="inlineStr">
        <is>
          <t>II92</t>
        </is>
      </c>
      <c r="C38" s="19" t="inlineStr">
        <is>
          <t>FGA18</t>
        </is>
      </c>
      <c r="D38" s="20" t="inlineStr">
        <is>
          <t>NIKE COMFORT RIDE EASYON CORE IPF</t>
        </is>
      </c>
      <c r="E38" s="19" t="inlineStr">
        <is>
          <t>IF4997-013</t>
        </is>
      </c>
      <c r="F38" s="21" t="inlineStr">
        <is>
          <t>VOLT</t>
        </is>
      </c>
      <c r="G38" s="22" t="inlineStr">
        <is>
          <t>NO</t>
        </is>
      </c>
      <c r="H38" s="23" t="inlineStr">
        <is>
          <t>NO</t>
        </is>
      </c>
      <c r="I38" s="24" t="inlineStr">
        <is>
          <t>IPF 003</t>
        </is>
      </c>
      <c r="J38" s="1736" t="n">
        <v>0.11</v>
      </c>
      <c r="K38" s="26" t="inlineStr">
        <is>
          <t>ME</t>
        </is>
      </c>
      <c r="L38" s="1737" t="n">
        <v>0</v>
      </c>
      <c r="M38" s="1737" t="n">
        <v>0</v>
      </c>
      <c r="N38" s="1737" t="n"/>
      <c r="O38" s="1737" t="n"/>
      <c r="P38" s="1737" t="n"/>
      <c r="Q38" s="1737" t="n"/>
      <c r="R38" s="1737" t="n"/>
      <c r="S38" s="1737" t="n"/>
      <c r="T38" s="1737" t="n"/>
      <c r="U38" s="1737" t="n"/>
      <c r="V38" s="28" t="n"/>
      <c r="W38" s="28" t="n"/>
      <c r="X38" s="28" t="n">
        <v>181</v>
      </c>
      <c r="Y38" s="28" t="n">
        <v>951</v>
      </c>
      <c r="Z38" s="28" t="n">
        <v>840</v>
      </c>
      <c r="AA38" s="28" t="n"/>
      <c r="AB38" s="28" t="n"/>
      <c r="AC38" s="28" t="n"/>
      <c r="AD38" s="28" t="n"/>
      <c r="AE38" s="29">
        <f>SUM(L38:AD38)</f>
        <v/>
      </c>
      <c r="AF38" s="30">
        <f>J38*AE38</f>
        <v/>
      </c>
      <c r="AG38" s="190" t="n"/>
      <c r="AH38" s="1745" t="n"/>
      <c r="AI38" s="1745" t="n"/>
      <c r="AJ38" s="1745" t="n"/>
      <c r="AK38" s="1576" t="n">
        <v>0</v>
      </c>
    </row>
    <row r="39" ht="30" customHeight="1">
      <c r="A39" s="1342" t="n"/>
      <c r="B39" s="111" t="inlineStr">
        <is>
          <t>II93</t>
        </is>
      </c>
      <c r="C39" s="19" t="inlineStr">
        <is>
          <t>FGA18</t>
        </is>
      </c>
      <c r="D39" s="20" t="inlineStr">
        <is>
          <t xml:space="preserve"> NIKE COMFORT RIDE EASYON CARRIER IPF</t>
        </is>
      </c>
      <c r="E39" s="19" t="inlineStr">
        <is>
          <t>IF4997-013</t>
        </is>
      </c>
      <c r="F39" s="21" t="inlineStr">
        <is>
          <t>BLACK</t>
        </is>
      </c>
      <c r="G39" s="22" t="inlineStr">
        <is>
          <t>DK SMOKE GREY</t>
        </is>
      </c>
      <c r="H39" s="23" t="inlineStr">
        <is>
          <t>NO</t>
        </is>
      </c>
      <c r="I39" s="112" t="inlineStr">
        <is>
          <t>IPF 003</t>
        </is>
      </c>
      <c r="J39" s="1736" t="n">
        <v>0.1904</v>
      </c>
      <c r="K39" s="26" t="inlineStr">
        <is>
          <t>ME</t>
        </is>
      </c>
      <c r="L39" s="1737" t="n">
        <v>0</v>
      </c>
      <c r="M39" s="1737" t="n">
        <v>0</v>
      </c>
      <c r="N39" s="1737" t="n"/>
      <c r="O39" s="1737" t="n"/>
      <c r="P39" s="1737" t="n"/>
      <c r="Q39" s="1737" t="n"/>
      <c r="R39" s="1737" t="n"/>
      <c r="S39" s="1737" t="n"/>
      <c r="T39" s="1737" t="n"/>
      <c r="U39" s="1737" t="n"/>
      <c r="V39" s="28" t="n"/>
      <c r="W39" s="28" t="n"/>
      <c r="X39" s="28" t="n">
        <v>181</v>
      </c>
      <c r="Y39" s="28" t="n">
        <v>951</v>
      </c>
      <c r="Z39" s="28" t="n">
        <v>840</v>
      </c>
      <c r="AA39" s="28" t="n"/>
      <c r="AB39" s="28" t="n"/>
      <c r="AC39" s="28" t="n"/>
      <c r="AD39" s="28" t="n"/>
      <c r="AE39" s="29">
        <f>SUM(L39:AD39)</f>
        <v/>
      </c>
      <c r="AF39" s="30">
        <f>J39*AE39</f>
        <v/>
      </c>
      <c r="AG39" s="190" t="n"/>
      <c r="AH39" s="1745" t="n"/>
      <c r="AI39" s="1745" t="n"/>
      <c r="AJ39" s="1745" t="n"/>
      <c r="AK39" s="1757" t="n"/>
    </row>
    <row r="40" ht="30" customHeight="1">
      <c r="A40" s="1342" t="n"/>
      <c r="B40" s="113" t="inlineStr">
        <is>
          <t>IP02</t>
        </is>
      </c>
      <c r="C40" s="19" t="inlineStr">
        <is>
          <t>FGA18</t>
        </is>
      </c>
      <c r="D40" s="20" t="inlineStr">
        <is>
          <t>W NIKE COMFORT RIDE EASYON TOE</t>
        </is>
      </c>
      <c r="E40" s="19" t="inlineStr">
        <is>
          <t>IF5001-005</t>
        </is>
      </c>
      <c r="F40" s="21" t="inlineStr">
        <is>
          <t>PHANTOM</t>
        </is>
      </c>
      <c r="G40" s="22" t="inlineStr">
        <is>
          <t>NO</t>
        </is>
      </c>
      <c r="H40" s="23" t="inlineStr">
        <is>
          <t>NO</t>
        </is>
      </c>
      <c r="I40" s="24" t="inlineStr">
        <is>
          <t>OEF 007</t>
        </is>
      </c>
      <c r="J40" s="1736" t="n"/>
      <c r="K40" s="26" t="inlineStr">
        <is>
          <t>WO</t>
        </is>
      </c>
      <c r="L40" s="1737" t="n"/>
      <c r="M40" s="1737" t="n"/>
      <c r="N40" s="1737" t="n"/>
      <c r="O40" s="1737" t="n"/>
      <c r="P40" s="1737" t="n"/>
      <c r="Q40" s="1737" t="n"/>
      <c r="R40" s="1737" t="n"/>
      <c r="S40" s="1737" t="n"/>
      <c r="T40" s="1737" t="n">
        <v>38</v>
      </c>
      <c r="U40" s="1737" t="n">
        <v>178</v>
      </c>
      <c r="V40" s="28" t="n">
        <v>996</v>
      </c>
      <c r="W40" s="28" t="n">
        <v>1200</v>
      </c>
      <c r="X40" s="28" t="n">
        <v>683</v>
      </c>
      <c r="Y40" s="28" t="n">
        <v>249</v>
      </c>
      <c r="Z40" s="28" t="n"/>
      <c r="AA40" s="28" t="n"/>
      <c r="AB40" s="28" t="n"/>
      <c r="AC40" s="28" t="n"/>
      <c r="AD40" s="28" t="n"/>
      <c r="AE40" s="29">
        <f>SUM(L40:AD40)</f>
        <v/>
      </c>
      <c r="AF40" s="30">
        <f>J40*AE40</f>
        <v/>
      </c>
      <c r="AG40" s="190" t="n"/>
      <c r="AH40" s="1745" t="n"/>
      <c r="AI40" s="1745" t="n"/>
      <c r="AJ40" s="1745" t="n"/>
      <c r="AK40" s="1576" t="n">
        <v>706</v>
      </c>
    </row>
    <row r="41" ht="30" customHeight="1">
      <c r="A41" s="1342" t="n"/>
      <c r="B41" s="113" t="inlineStr">
        <is>
          <t>IP03</t>
        </is>
      </c>
      <c r="C41" s="19" t="inlineStr">
        <is>
          <t>FGA18</t>
        </is>
      </c>
      <c r="D41" s="20" t="inlineStr">
        <is>
          <t>W NIKE COMFORT RIDE EASYON HEEL</t>
        </is>
      </c>
      <c r="E41" s="19" t="inlineStr">
        <is>
          <t>IF5001-005</t>
        </is>
      </c>
      <c r="F41" s="21" t="inlineStr">
        <is>
          <t>PHANTOM</t>
        </is>
      </c>
      <c r="G41" s="22" t="inlineStr">
        <is>
          <t>NO</t>
        </is>
      </c>
      <c r="H41" s="23" t="inlineStr">
        <is>
          <t>NO</t>
        </is>
      </c>
      <c r="I41" s="24" t="inlineStr">
        <is>
          <t>OEF 007</t>
        </is>
      </c>
      <c r="J41" s="1736" t="n"/>
      <c r="K41" s="26" t="inlineStr">
        <is>
          <t>WO</t>
        </is>
      </c>
      <c r="L41" s="1737" t="n"/>
      <c r="M41" s="1737" t="n"/>
      <c r="N41" s="1737" t="n"/>
      <c r="O41" s="1737" t="n"/>
      <c r="P41" s="1737" t="n"/>
      <c r="Q41" s="1737" t="n"/>
      <c r="R41" s="1737" t="n"/>
      <c r="S41" s="1737" t="n"/>
      <c r="T41" s="1737" t="n">
        <v>38</v>
      </c>
      <c r="U41" s="1737" t="n">
        <v>178</v>
      </c>
      <c r="V41" s="28" t="n">
        <v>996</v>
      </c>
      <c r="W41" s="28" t="n">
        <v>1200</v>
      </c>
      <c r="X41" s="28" t="n">
        <v>683</v>
      </c>
      <c r="Y41" s="28" t="n">
        <v>249</v>
      </c>
      <c r="Z41" s="28" t="n"/>
      <c r="AA41" s="28" t="n"/>
      <c r="AB41" s="28" t="n"/>
      <c r="AC41" s="28" t="n"/>
      <c r="AD41" s="28" t="n"/>
      <c r="AE41" s="29">
        <f>SUM(L41:AD41)</f>
        <v/>
      </c>
      <c r="AF41" s="30">
        <f>J41*AE41</f>
        <v/>
      </c>
      <c r="AG41" s="190" t="n"/>
      <c r="AH41" s="1745" t="n"/>
      <c r="AI41" s="1745" t="n"/>
      <c r="AJ41" s="1745" t="n"/>
      <c r="AK41" s="1745" t="n"/>
    </row>
    <row r="42" ht="30" customHeight="1">
      <c r="A42" s="1342" t="n"/>
      <c r="B42" s="113" t="inlineStr">
        <is>
          <t>IP04</t>
        </is>
      </c>
      <c r="C42" s="19" t="inlineStr">
        <is>
          <t>FGA18</t>
        </is>
      </c>
      <c r="D42" s="20" t="inlineStr">
        <is>
          <t>W NIKE COMFORT RIDE EASYON CARRIER</t>
        </is>
      </c>
      <c r="E42" s="19" t="inlineStr">
        <is>
          <t>IF5001-005</t>
        </is>
      </c>
      <c r="F42" s="21" t="inlineStr">
        <is>
          <t>PHANTOM</t>
        </is>
      </c>
      <c r="G42" s="22" t="inlineStr">
        <is>
          <t>NO</t>
        </is>
      </c>
      <c r="H42" s="23" t="inlineStr">
        <is>
          <t>NO</t>
        </is>
      </c>
      <c r="I42" s="24" t="inlineStr">
        <is>
          <t>OEF 007</t>
        </is>
      </c>
      <c r="J42" s="1736" t="n"/>
      <c r="K42" s="26" t="inlineStr">
        <is>
          <t>WO</t>
        </is>
      </c>
      <c r="L42" s="1737" t="n"/>
      <c r="M42" s="1737" t="n"/>
      <c r="N42" s="1737" t="n"/>
      <c r="O42" s="1737" t="n"/>
      <c r="P42" s="1737" t="n"/>
      <c r="Q42" s="1737" t="n"/>
      <c r="R42" s="1737" t="n"/>
      <c r="S42" s="1737" t="n"/>
      <c r="T42" s="1737" t="n">
        <v>38</v>
      </c>
      <c r="U42" s="1737" t="n">
        <v>178</v>
      </c>
      <c r="V42" s="28" t="n">
        <v>996</v>
      </c>
      <c r="W42" s="28" t="n">
        <v>1200</v>
      </c>
      <c r="X42" s="28" t="n">
        <v>683</v>
      </c>
      <c r="Y42" s="28" t="n">
        <v>249</v>
      </c>
      <c r="Z42" s="28" t="n"/>
      <c r="AA42" s="28" t="n"/>
      <c r="AB42" s="28" t="n"/>
      <c r="AC42" s="28" t="n"/>
      <c r="AD42" s="28" t="n"/>
      <c r="AE42" s="29">
        <f>SUM(L42:AD42)</f>
        <v/>
      </c>
      <c r="AF42" s="30">
        <f>J42*AE42</f>
        <v/>
      </c>
      <c r="AG42" s="190" t="n"/>
      <c r="AH42" s="1745" t="n"/>
      <c r="AI42" s="1745" t="n"/>
      <c r="AJ42" s="1745" t="n"/>
      <c r="AK42" s="1745" t="n"/>
    </row>
    <row r="43" ht="30" customHeight="1">
      <c r="A43" s="1342" t="n"/>
      <c r="B43" s="113" t="inlineStr">
        <is>
          <t>IP05</t>
        </is>
      </c>
      <c r="C43" s="19" t="inlineStr">
        <is>
          <t>FGA18</t>
        </is>
      </c>
      <c r="D43" s="20" t="inlineStr">
        <is>
          <t>W NIKE COMFORT RIDE EASYON CORE</t>
        </is>
      </c>
      <c r="E43" s="19" t="inlineStr">
        <is>
          <t>IF5001-005</t>
        </is>
      </c>
      <c r="F43" s="21" t="inlineStr">
        <is>
          <t>SAIL</t>
        </is>
      </c>
      <c r="G43" s="22" t="inlineStr">
        <is>
          <t>NO</t>
        </is>
      </c>
      <c r="H43" s="23" t="inlineStr">
        <is>
          <t>NO</t>
        </is>
      </c>
      <c r="I43" s="24" t="inlineStr">
        <is>
          <t>OEF 007</t>
        </is>
      </c>
      <c r="J43" s="1736" t="n"/>
      <c r="K43" s="26" t="inlineStr">
        <is>
          <t>WO</t>
        </is>
      </c>
      <c r="L43" s="1737" t="n"/>
      <c r="M43" s="1737" t="n"/>
      <c r="N43" s="1737" t="n"/>
      <c r="O43" s="1737" t="n"/>
      <c r="P43" s="1737" t="n"/>
      <c r="Q43" s="1737" t="n"/>
      <c r="R43" s="1737" t="n"/>
      <c r="S43" s="1737" t="n"/>
      <c r="T43" s="1737" t="n">
        <v>38</v>
      </c>
      <c r="U43" s="1737" t="n">
        <v>178</v>
      </c>
      <c r="V43" s="28" t="n">
        <v>996</v>
      </c>
      <c r="W43" s="28" t="n">
        <v>1200</v>
      </c>
      <c r="X43" s="28" t="n">
        <v>683</v>
      </c>
      <c r="Y43" s="28" t="n">
        <v>249</v>
      </c>
      <c r="Z43" s="28" t="n"/>
      <c r="AA43" s="28" t="n"/>
      <c r="AB43" s="28" t="n"/>
      <c r="AC43" s="28" t="n"/>
      <c r="AD43" s="28" t="n"/>
      <c r="AE43" s="29">
        <f>SUM(L43:AD43)</f>
        <v/>
      </c>
      <c r="AF43" s="30">
        <f>J43*AE43</f>
        <v/>
      </c>
      <c r="AG43" s="190" t="n"/>
      <c r="AH43" s="1745" t="n"/>
      <c r="AI43" s="1745" t="n"/>
      <c r="AJ43" s="1745" t="n"/>
      <c r="AK43" s="1757" t="n"/>
    </row>
    <row r="44" ht="30" customHeight="1">
      <c r="A44" s="1342" t="n"/>
      <c r="B44" s="111" t="inlineStr">
        <is>
          <t>II92</t>
        </is>
      </c>
      <c r="C44" s="19" t="inlineStr">
        <is>
          <t>FGA18</t>
        </is>
      </c>
      <c r="D44" s="20" t="inlineStr">
        <is>
          <t>W NIKE COMFORT RIDE EASYON CORE IPF</t>
        </is>
      </c>
      <c r="E44" s="19" t="inlineStr">
        <is>
          <t>IF5001-005</t>
        </is>
      </c>
      <c r="F44" s="21" t="inlineStr">
        <is>
          <t>SAIL</t>
        </is>
      </c>
      <c r="G44" s="22" t="inlineStr">
        <is>
          <t>NO</t>
        </is>
      </c>
      <c r="H44" s="23" t="inlineStr">
        <is>
          <t>NO</t>
        </is>
      </c>
      <c r="I44" s="112" t="inlineStr">
        <is>
          <t>IPF 003</t>
        </is>
      </c>
      <c r="J44" s="1736" t="n"/>
      <c r="K44" s="26" t="inlineStr">
        <is>
          <t>WO</t>
        </is>
      </c>
      <c r="L44" s="1737" t="n"/>
      <c r="M44" s="1737" t="n"/>
      <c r="N44" s="1737" t="n"/>
      <c r="O44" s="1737" t="n"/>
      <c r="P44" s="1737" t="n"/>
      <c r="Q44" s="1737" t="n"/>
      <c r="R44" s="1737" t="n"/>
      <c r="S44" s="1737" t="n"/>
      <c r="T44" s="1737" t="n">
        <v>0</v>
      </c>
      <c r="U44" s="1737" t="n">
        <v>0</v>
      </c>
      <c r="V44" s="28" t="n">
        <v>112</v>
      </c>
      <c r="W44" s="28" t="n">
        <v>998</v>
      </c>
      <c r="X44" s="28" t="n">
        <v>614</v>
      </c>
      <c r="Y44" s="28" t="n">
        <v>249</v>
      </c>
      <c r="Z44" s="28" t="n"/>
      <c r="AA44" s="28" t="n"/>
      <c r="AB44" s="28" t="n"/>
      <c r="AC44" s="28" t="n"/>
      <c r="AD44" s="28" t="n"/>
      <c r="AE44" s="29">
        <f>SUM(L44:AD44)</f>
        <v/>
      </c>
      <c r="AF44" s="30">
        <f>J44*AE44</f>
        <v/>
      </c>
      <c r="AG44" s="190" t="n"/>
      <c r="AH44" s="1745" t="n"/>
      <c r="AI44" s="1745" t="n"/>
      <c r="AJ44" s="1745" t="n"/>
      <c r="AK44" s="1576" t="n">
        <v>0</v>
      </c>
    </row>
    <row r="45" ht="30" customHeight="1">
      <c r="A45" s="1342" t="n"/>
      <c r="B45" s="111" t="inlineStr">
        <is>
          <t>II93</t>
        </is>
      </c>
      <c r="C45" s="19" t="inlineStr">
        <is>
          <t>FGA18</t>
        </is>
      </c>
      <c r="D45" s="20" t="inlineStr">
        <is>
          <t>W NIKE COMFORT RIDE EASYON CARRIER IPF</t>
        </is>
      </c>
      <c r="E45" s="19" t="inlineStr">
        <is>
          <t>IF5001-005</t>
        </is>
      </c>
      <c r="F45" s="21" t="inlineStr">
        <is>
          <t>PHANTOM</t>
        </is>
      </c>
      <c r="G45" s="22" t="inlineStr">
        <is>
          <t>SUMMIT WHITE</t>
        </is>
      </c>
      <c r="H45" s="23" t="inlineStr">
        <is>
          <t>NO</t>
        </is>
      </c>
      <c r="I45" s="112" t="inlineStr">
        <is>
          <t>IPF 003</t>
        </is>
      </c>
      <c r="J45" s="1736" t="n"/>
      <c r="K45" s="26" t="inlineStr">
        <is>
          <t>WO</t>
        </is>
      </c>
      <c r="L45" s="1737" t="n"/>
      <c r="M45" s="1737" t="n"/>
      <c r="N45" s="1737" t="n"/>
      <c r="O45" s="1737" t="n"/>
      <c r="P45" s="1737" t="n"/>
      <c r="Q45" s="1737" t="n"/>
      <c r="R45" s="1737" t="n"/>
      <c r="S45" s="1737" t="n"/>
      <c r="T45" s="1737" t="n">
        <v>22</v>
      </c>
      <c r="U45" s="1737" t="n">
        <v>0</v>
      </c>
      <c r="V45" s="28" t="n">
        <v>100</v>
      </c>
      <c r="W45" s="28" t="n">
        <v>646</v>
      </c>
      <c r="X45" s="28" t="n">
        <v>506</v>
      </c>
      <c r="Y45" s="28" t="n">
        <v>249</v>
      </c>
      <c r="Z45" s="28" t="n"/>
      <c r="AA45" s="28" t="n"/>
      <c r="AB45" s="28" t="n"/>
      <c r="AC45" s="28" t="n"/>
      <c r="AD45" s="28" t="n"/>
      <c r="AE45" s="29">
        <f>SUM(L45:AD45)</f>
        <v/>
      </c>
      <c r="AF45" s="30">
        <f>J45*AE45</f>
        <v/>
      </c>
      <c r="AG45" s="190" t="n"/>
      <c r="AH45" s="1745" t="n"/>
      <c r="AI45" s="1745" t="n"/>
      <c r="AJ45" s="1745" t="n"/>
      <c r="AK45" s="1757" t="n"/>
    </row>
    <row r="46" ht="30" customHeight="1">
      <c r="A46" s="1342" t="n"/>
      <c r="B46" s="113" t="inlineStr">
        <is>
          <t>IP02</t>
        </is>
      </c>
      <c r="C46" s="19" t="inlineStr">
        <is>
          <t>FGA18</t>
        </is>
      </c>
      <c r="D46" s="20" t="inlineStr">
        <is>
          <t>W NIKE COMFORT RIDE EASYON TOE</t>
        </is>
      </c>
      <c r="E46" s="19" t="inlineStr">
        <is>
          <t>IF5001-101</t>
        </is>
      </c>
      <c r="F46" s="21" t="inlineStr">
        <is>
          <t>TAUPE HAZE</t>
        </is>
      </c>
      <c r="G46" s="22" t="inlineStr">
        <is>
          <t>NO</t>
        </is>
      </c>
      <c r="H46" s="23" t="inlineStr">
        <is>
          <t>NO</t>
        </is>
      </c>
      <c r="I46" s="24" t="inlineStr">
        <is>
          <t>OEF 007</t>
        </is>
      </c>
      <c r="J46" s="1736" t="n"/>
      <c r="K46" s="26" t="inlineStr">
        <is>
          <t>WO</t>
        </is>
      </c>
      <c r="L46" s="1737" t="n"/>
      <c r="M46" s="1737" t="n"/>
      <c r="N46" s="1737" t="n"/>
      <c r="O46" s="1737" t="n"/>
      <c r="P46" s="1737" t="n">
        <v>0</v>
      </c>
      <c r="Q46" s="1737" t="n">
        <v>76</v>
      </c>
      <c r="R46" s="1737" t="n">
        <v>81</v>
      </c>
      <c r="S46" s="1737" t="n">
        <v>329</v>
      </c>
      <c r="T46" s="1737" t="n">
        <v>612</v>
      </c>
      <c r="U46" s="1737" t="n">
        <v>696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9">
        <f>SUM(L46:AD46)</f>
        <v/>
      </c>
      <c r="AF46" s="30">
        <f>J46*AE46</f>
        <v/>
      </c>
      <c r="AG46" s="190" t="n"/>
      <c r="AH46" s="1745" t="n"/>
      <c r="AI46" s="1745" t="n"/>
      <c r="AJ46" s="1745" t="n"/>
      <c r="AK46" s="1576" t="n">
        <v>2957</v>
      </c>
    </row>
    <row r="47" ht="30" customHeight="1">
      <c r="A47" s="1342" t="n"/>
      <c r="B47" s="113" t="inlineStr">
        <is>
          <t>IP03</t>
        </is>
      </c>
      <c r="C47" s="19" t="inlineStr">
        <is>
          <t>FGA18</t>
        </is>
      </c>
      <c r="D47" s="20" t="inlineStr">
        <is>
          <t>W NIKE COMFORT RIDE EASYON HEEL</t>
        </is>
      </c>
      <c r="E47" s="19" t="inlineStr">
        <is>
          <t>IF5001-101</t>
        </is>
      </c>
      <c r="F47" s="21" t="inlineStr">
        <is>
          <t>TAUPE HAZE</t>
        </is>
      </c>
      <c r="G47" s="22" t="inlineStr">
        <is>
          <t>NO</t>
        </is>
      </c>
      <c r="H47" s="23" t="inlineStr">
        <is>
          <t>NO</t>
        </is>
      </c>
      <c r="I47" s="24" t="inlineStr">
        <is>
          <t>OEF 007</t>
        </is>
      </c>
      <c r="J47" s="1736" t="n"/>
      <c r="K47" s="26" t="inlineStr">
        <is>
          <t>WO</t>
        </is>
      </c>
      <c r="L47" s="1737" t="n"/>
      <c r="M47" s="1737" t="n"/>
      <c r="N47" s="1737" t="n"/>
      <c r="O47" s="1737" t="n"/>
      <c r="P47" s="1737" t="n">
        <v>0</v>
      </c>
      <c r="Q47" s="1737" t="n">
        <v>76</v>
      </c>
      <c r="R47" s="1737" t="n">
        <v>81</v>
      </c>
      <c r="S47" s="1737" t="n">
        <v>329</v>
      </c>
      <c r="T47" s="1737" t="n">
        <v>612</v>
      </c>
      <c r="U47" s="1737" t="n">
        <v>696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9">
        <f>SUM(L47:AD47)</f>
        <v/>
      </c>
      <c r="AF47" s="30">
        <f>J47*AE47</f>
        <v/>
      </c>
      <c r="AG47" s="190" t="n"/>
      <c r="AH47" s="1745" t="n"/>
      <c r="AI47" s="1745" t="n"/>
      <c r="AJ47" s="1745" t="n"/>
      <c r="AK47" s="1745" t="n"/>
    </row>
    <row r="48" ht="30" customHeight="1">
      <c r="A48" s="1342" t="n"/>
      <c r="B48" s="113" t="inlineStr">
        <is>
          <t>IP04</t>
        </is>
      </c>
      <c r="C48" s="19" t="inlineStr">
        <is>
          <t>FGA18</t>
        </is>
      </c>
      <c r="D48" s="20" t="inlineStr">
        <is>
          <t>W NIKE COMFORT RIDE EASYON CARRIER</t>
        </is>
      </c>
      <c r="E48" s="19" t="inlineStr">
        <is>
          <t>IF5001-101</t>
        </is>
      </c>
      <c r="F48" s="21" t="inlineStr">
        <is>
          <t>TAUPE HAZE</t>
        </is>
      </c>
      <c r="G48" s="22" t="inlineStr">
        <is>
          <t>NO</t>
        </is>
      </c>
      <c r="H48" s="23" t="inlineStr">
        <is>
          <t>NO</t>
        </is>
      </c>
      <c r="I48" s="24" t="inlineStr">
        <is>
          <t>OEF 007</t>
        </is>
      </c>
      <c r="J48" s="1736" t="n"/>
      <c r="K48" s="26" t="inlineStr">
        <is>
          <t>WO</t>
        </is>
      </c>
      <c r="L48" s="1737" t="n"/>
      <c r="M48" s="1737" t="n"/>
      <c r="N48" s="1737" t="n"/>
      <c r="O48" s="1737" t="n"/>
      <c r="P48" s="1737" t="n">
        <v>0</v>
      </c>
      <c r="Q48" s="1737" t="n">
        <v>76</v>
      </c>
      <c r="R48" s="1737" t="n">
        <v>81</v>
      </c>
      <c r="S48" s="1737" t="n">
        <v>329</v>
      </c>
      <c r="T48" s="1737" t="n">
        <v>612</v>
      </c>
      <c r="U48" s="1737" t="n">
        <v>696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9">
        <f>SUM(L48:AD48)</f>
        <v/>
      </c>
      <c r="AF48" s="30">
        <f>J48*AE48</f>
        <v/>
      </c>
      <c r="AG48" s="190" t="n"/>
      <c r="AH48" s="1745" t="n"/>
      <c r="AI48" s="1745" t="n"/>
      <c r="AJ48" s="1745" t="n"/>
      <c r="AK48" s="1745" t="n"/>
    </row>
    <row r="49" ht="30" customHeight="1">
      <c r="A49" s="1342" t="n"/>
      <c r="B49" s="113" t="inlineStr">
        <is>
          <t>IP05</t>
        </is>
      </c>
      <c r="C49" s="19" t="inlineStr">
        <is>
          <t>FGA18</t>
        </is>
      </c>
      <c r="D49" s="20" t="inlineStr">
        <is>
          <t>W NIKE COMFORT RIDE EASYON CORE</t>
        </is>
      </c>
      <c r="E49" s="19" t="inlineStr">
        <is>
          <t>IF5001-101</t>
        </is>
      </c>
      <c r="F49" s="21" t="inlineStr">
        <is>
          <t>PINK FOAM</t>
        </is>
      </c>
      <c r="G49" s="22" t="inlineStr">
        <is>
          <t>NO</t>
        </is>
      </c>
      <c r="H49" s="23" t="inlineStr">
        <is>
          <t>NO</t>
        </is>
      </c>
      <c r="I49" s="24" t="inlineStr">
        <is>
          <t>OEF 007</t>
        </is>
      </c>
      <c r="J49" s="1736" t="n"/>
      <c r="K49" s="26" t="inlineStr">
        <is>
          <t>WO</t>
        </is>
      </c>
      <c r="L49" s="1737" t="n"/>
      <c r="M49" s="1737" t="n"/>
      <c r="N49" s="1737" t="n"/>
      <c r="O49" s="1737" t="n"/>
      <c r="P49" s="1737" t="n">
        <v>0</v>
      </c>
      <c r="Q49" s="1737" t="n">
        <v>76</v>
      </c>
      <c r="R49" s="1737" t="n">
        <v>81</v>
      </c>
      <c r="S49" s="1737" t="n">
        <v>329</v>
      </c>
      <c r="T49" s="1737" t="n">
        <v>612</v>
      </c>
      <c r="U49" s="1737" t="n">
        <v>696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9">
        <f>SUM(L49:AD49)</f>
        <v/>
      </c>
      <c r="AF49" s="30">
        <f>J49*AE49</f>
        <v/>
      </c>
      <c r="AG49" s="190" t="n"/>
      <c r="AH49" s="1745" t="n"/>
      <c r="AI49" s="1745" t="n"/>
      <c r="AJ49" s="1745" t="n"/>
      <c r="AK49" s="1757" t="n"/>
    </row>
    <row r="50" ht="30" customHeight="1">
      <c r="A50" s="1342" t="n"/>
      <c r="B50" s="111" t="inlineStr">
        <is>
          <t>II92</t>
        </is>
      </c>
      <c r="C50" s="19" t="inlineStr">
        <is>
          <t>FGA18</t>
        </is>
      </c>
      <c r="D50" s="20" t="inlineStr">
        <is>
          <t>W NIKE COMFORT RIDE EASYON CORE IPF</t>
        </is>
      </c>
      <c r="E50" s="19" t="inlineStr">
        <is>
          <t>IF5001-101</t>
        </is>
      </c>
      <c r="F50" s="21" t="inlineStr">
        <is>
          <t>PINK FOAM</t>
        </is>
      </c>
      <c r="G50" s="22" t="inlineStr">
        <is>
          <t>NO</t>
        </is>
      </c>
      <c r="H50" s="23" t="inlineStr">
        <is>
          <t>NO</t>
        </is>
      </c>
      <c r="I50" s="110" t="inlineStr">
        <is>
          <t>IPF 003</t>
        </is>
      </c>
      <c r="J50" s="1736" t="n"/>
      <c r="K50" s="26" t="inlineStr">
        <is>
          <t>WO</t>
        </is>
      </c>
      <c r="L50" s="1737" t="n"/>
      <c r="M50" s="1737" t="n"/>
      <c r="N50" s="1737" t="n"/>
      <c r="O50" s="1737" t="n"/>
      <c r="P50" s="1737" t="n">
        <v>0</v>
      </c>
      <c r="Q50" s="1737" t="n">
        <v>0</v>
      </c>
      <c r="R50" s="1737" t="n">
        <v>36</v>
      </c>
      <c r="S50" s="1737" t="n">
        <v>23</v>
      </c>
      <c r="T50" s="1737" t="n">
        <v>158</v>
      </c>
      <c r="U50" s="1737" t="n">
        <v>439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9">
        <f>SUM(L50:AD50)</f>
        <v/>
      </c>
      <c r="AF50" s="30">
        <f>J50*AE50</f>
        <v/>
      </c>
      <c r="AG50" s="190" t="n"/>
      <c r="AH50" s="1745" t="n"/>
      <c r="AI50" s="1745" t="n"/>
      <c r="AJ50" s="1745" t="n"/>
      <c r="AK50" s="1576" t="n">
        <v>1211</v>
      </c>
    </row>
    <row r="51" ht="30" customHeight="1">
      <c r="A51" s="1342" t="n"/>
      <c r="B51" s="111" t="inlineStr">
        <is>
          <t>II93</t>
        </is>
      </c>
      <c r="C51" s="19" t="inlineStr">
        <is>
          <t>FGA18</t>
        </is>
      </c>
      <c r="D51" s="20" t="inlineStr">
        <is>
          <t>W NIKE COMFORT RIDE EASYON CARRIER IPF</t>
        </is>
      </c>
      <c r="E51" s="19" t="inlineStr">
        <is>
          <t>IF5001-101</t>
        </is>
      </c>
      <c r="F51" s="21" t="inlineStr">
        <is>
          <t>MOON PARTICLE</t>
        </is>
      </c>
      <c r="G51" s="22" t="inlineStr">
        <is>
          <t>PHANTOM</t>
        </is>
      </c>
      <c r="H51" s="23" t="inlineStr">
        <is>
          <t>NO</t>
        </is>
      </c>
      <c r="I51" s="110" t="inlineStr">
        <is>
          <t>IPF 003</t>
        </is>
      </c>
      <c r="J51" s="1736" t="n"/>
      <c r="K51" s="26" t="inlineStr">
        <is>
          <t>WO</t>
        </is>
      </c>
      <c r="L51" s="1737" t="n"/>
      <c r="M51" s="1737" t="n"/>
      <c r="N51" s="1737" t="n"/>
      <c r="O51" s="1737" t="n"/>
      <c r="P51" s="1737" t="n">
        <v>0</v>
      </c>
      <c r="Q51" s="1737" t="n">
        <v>0</v>
      </c>
      <c r="R51" s="1737" t="n">
        <v>0</v>
      </c>
      <c r="S51" s="1737" t="n">
        <v>41</v>
      </c>
      <c r="T51" s="1737" t="n">
        <v>320</v>
      </c>
      <c r="U51" s="1737" t="n">
        <v>573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9">
        <f>SUM(L51:AD51)</f>
        <v/>
      </c>
      <c r="AF51" s="30">
        <f>J51*AE51</f>
        <v/>
      </c>
      <c r="AG51" s="190" t="n"/>
      <c r="AH51" s="1745" t="n"/>
      <c r="AI51" s="1745" t="n"/>
      <c r="AJ51" s="1745" t="n"/>
      <c r="AK51" s="1757" t="n"/>
    </row>
    <row r="52" ht="30" customHeight="1">
      <c r="A52" s="1342" t="n"/>
      <c r="B52" s="48" t="inlineStr">
        <is>
          <t>II01</t>
        </is>
      </c>
      <c r="C52" s="49" t="inlineStr">
        <is>
          <t>FGA18</t>
        </is>
      </c>
      <c r="D52" s="50" t="inlineStr">
        <is>
          <t>W NSW FLYKNIT RUNNER</t>
        </is>
      </c>
      <c r="E52" s="49" t="inlineStr">
        <is>
          <t>IV5701-101</t>
        </is>
      </c>
      <c r="F52" s="51" t="inlineStr">
        <is>
          <t>LIGHT SOFT PINK(62E)</t>
        </is>
      </c>
      <c r="G52" s="53" t="n"/>
      <c r="H52" s="53" t="n"/>
      <c r="I52" s="54" t="n"/>
      <c r="J52" s="1742" t="n"/>
      <c r="K52" s="56" t="inlineStr">
        <is>
          <t>WO</t>
        </is>
      </c>
      <c r="L52" s="1760" t="n">
        <v>4</v>
      </c>
      <c r="M52" s="1743" t="n"/>
      <c r="N52" s="1760" t="n">
        <v>53</v>
      </c>
      <c r="O52" s="1743" t="n"/>
      <c r="P52" s="1743" t="n"/>
      <c r="Q52" s="1743" t="n"/>
      <c r="R52" s="1743" t="n"/>
      <c r="S52" s="1743" t="n"/>
      <c r="T52" s="1743" t="n"/>
      <c r="U52" s="1743" t="n"/>
      <c r="V52" s="58" t="n"/>
      <c r="W52" s="58" t="n"/>
      <c r="X52" s="58" t="n"/>
      <c r="Y52" s="58" t="n"/>
      <c r="Z52" s="58" t="n"/>
      <c r="AA52" s="58" t="n"/>
      <c r="AB52" s="58" t="n"/>
      <c r="AC52" s="58" t="n"/>
      <c r="AD52" s="58" t="n"/>
      <c r="AE52" s="29">
        <f>SUM(L52:AD52)</f>
        <v/>
      </c>
      <c r="AF52" s="30">
        <f>J52*AE52</f>
        <v/>
      </c>
      <c r="AG52" s="197" t="inlineStr">
        <is>
          <t>ZSS</t>
        </is>
      </c>
      <c r="AH52" s="1745" t="n"/>
      <c r="AI52" s="1745" t="n"/>
      <c r="AJ52" s="1745" t="n"/>
      <c r="AK52" s="1576" t="n">
        <v>0</v>
      </c>
    </row>
    <row r="53" ht="30" customHeight="1">
      <c r="A53" s="1342" t="n"/>
      <c r="B53" s="48" t="inlineStr">
        <is>
          <t>II01</t>
        </is>
      </c>
      <c r="C53" s="49" t="inlineStr">
        <is>
          <t>FGA18</t>
        </is>
      </c>
      <c r="D53" s="50" t="inlineStr">
        <is>
          <t>W NSW FLYKNIT RUNNER</t>
        </is>
      </c>
      <c r="E53" s="49" t="inlineStr">
        <is>
          <t>IV5701-800</t>
        </is>
      </c>
      <c r="F53" s="51" t="inlineStr">
        <is>
          <t>PALE IVORY</t>
        </is>
      </c>
      <c r="G53" s="53" t="n"/>
      <c r="H53" s="53" t="n"/>
      <c r="I53" s="54" t="n"/>
      <c r="J53" s="1742" t="n"/>
      <c r="K53" s="56" t="inlineStr">
        <is>
          <t>WO</t>
        </is>
      </c>
      <c r="L53" s="1743" t="n"/>
      <c r="M53" s="1743" t="n"/>
      <c r="N53" s="1760" t="n">
        <v>30</v>
      </c>
      <c r="O53" s="1743" t="n"/>
      <c r="P53" s="1743" t="n"/>
      <c r="Q53" s="1743" t="n"/>
      <c r="R53" s="1743" t="n"/>
      <c r="S53" s="1743" t="n"/>
      <c r="T53" s="1743" t="n"/>
      <c r="U53" s="1743" t="n"/>
      <c r="V53" s="58" t="n"/>
      <c r="W53" s="58" t="n"/>
      <c r="X53" s="58" t="n"/>
      <c r="Y53" s="58" t="n"/>
      <c r="Z53" s="58" t="n"/>
      <c r="AA53" s="58" t="n"/>
      <c r="AB53" s="58" t="n"/>
      <c r="AC53" s="58" t="n"/>
      <c r="AD53" s="58" t="n"/>
      <c r="AE53" s="29">
        <f>SUM(L53:AD53)</f>
        <v/>
      </c>
      <c r="AF53" s="30">
        <f>J53*AE53</f>
        <v/>
      </c>
      <c r="AG53" s="197" t="inlineStr">
        <is>
          <t>ZSS</t>
        </is>
      </c>
      <c r="AH53" s="1745" t="n"/>
      <c r="AI53" s="1745" t="n"/>
      <c r="AJ53" s="1745" t="n"/>
      <c r="AK53" s="1576" t="n">
        <v>0</v>
      </c>
    </row>
    <row r="54" ht="30" customHeight="1">
      <c r="A54" s="1342" t="n"/>
      <c r="B54" s="48" t="inlineStr">
        <is>
          <t>II01</t>
        </is>
      </c>
      <c r="C54" s="49" t="inlineStr">
        <is>
          <t>FGA18</t>
        </is>
      </c>
      <c r="D54" s="50" t="inlineStr">
        <is>
          <t>NSW FLYKNIT RUNNER</t>
        </is>
      </c>
      <c r="E54" s="49" t="inlineStr">
        <is>
          <t>IV5703-001</t>
        </is>
      </c>
      <c r="F54" s="115" t="inlineStr">
        <is>
          <t>LIFE LIME(75L)</t>
        </is>
      </c>
      <c r="G54" s="52" t="n"/>
      <c r="H54" s="53" t="n"/>
      <c r="I54" s="54" t="n"/>
      <c r="J54" s="1742" t="n"/>
      <c r="K54" s="56" t="inlineStr">
        <is>
          <t>ME</t>
        </is>
      </c>
      <c r="L54" s="1743" t="n"/>
      <c r="M54" s="1760" t="n">
        <v>5</v>
      </c>
      <c r="N54" s="1760" t="n">
        <v>43</v>
      </c>
      <c r="O54" s="1743" t="n"/>
      <c r="P54" s="1743" t="n"/>
      <c r="Q54" s="1743" t="n"/>
      <c r="R54" s="1743" t="n"/>
      <c r="S54" s="1743" t="n"/>
      <c r="T54" s="1743" t="n"/>
      <c r="U54" s="1743" t="n"/>
      <c r="V54" s="58" t="n"/>
      <c r="W54" s="58" t="n"/>
      <c r="X54" s="58" t="n"/>
      <c r="Y54" s="58" t="n"/>
      <c r="Z54" s="58" t="n"/>
      <c r="AA54" s="58" t="n"/>
      <c r="AB54" s="58" t="n"/>
      <c r="AC54" s="58" t="n"/>
      <c r="AD54" s="58" t="n"/>
      <c r="AE54" s="46">
        <f>SUM(L54:AD54)</f>
        <v/>
      </c>
      <c r="AF54" s="47">
        <f>J54*AE54</f>
        <v/>
      </c>
      <c r="AG54" s="197" t="inlineStr">
        <is>
          <t>ZSS</t>
        </is>
      </c>
      <c r="AH54" s="1745" t="n"/>
      <c r="AI54" s="1745" t="n"/>
      <c r="AJ54" s="1745" t="n"/>
      <c r="AK54" s="1576" t="n">
        <v>0</v>
      </c>
    </row>
    <row r="55" ht="30" customHeight="1" thickBot="1">
      <c r="A55" s="1342" t="n"/>
      <c r="B55" s="95" t="inlineStr">
        <is>
          <t>II01</t>
        </is>
      </c>
      <c r="C55" s="96" t="inlineStr">
        <is>
          <t>FGA18</t>
        </is>
      </c>
      <c r="D55" s="97" t="inlineStr">
        <is>
          <t>NSW FLYKNIT RUNNER</t>
        </is>
      </c>
      <c r="E55" s="96" t="inlineStr">
        <is>
          <t>IV5703-200</t>
        </is>
      </c>
      <c r="F55" s="98" t="inlineStr">
        <is>
          <t>ANTHRACITE(06F)</t>
        </is>
      </c>
      <c r="G55" s="99" t="n"/>
      <c r="H55" s="100" t="n"/>
      <c r="I55" s="101" t="n"/>
      <c r="J55" s="1750" t="n"/>
      <c r="K55" s="103" t="inlineStr">
        <is>
          <t>ME</t>
        </is>
      </c>
      <c r="L55" s="1761" t="n">
        <v>9</v>
      </c>
      <c r="M55" s="1751" t="n"/>
      <c r="N55" s="1762" t="n">
        <v>64</v>
      </c>
      <c r="O55" s="1751" t="n"/>
      <c r="P55" s="1751" t="n"/>
      <c r="Q55" s="1751" t="n"/>
      <c r="R55" s="1751" t="n"/>
      <c r="S55" s="1751" t="n"/>
      <c r="T55" s="1751" t="n"/>
      <c r="U55" s="1751" t="n"/>
      <c r="V55" s="105" t="n"/>
      <c r="W55" s="105" t="n"/>
      <c r="X55" s="105" t="n"/>
      <c r="Y55" s="105" t="n"/>
      <c r="Z55" s="105" t="n"/>
      <c r="AA55" s="105" t="n"/>
      <c r="AB55" s="105" t="n"/>
      <c r="AC55" s="105" t="n"/>
      <c r="AD55" s="105" t="n"/>
      <c r="AE55" s="106">
        <f>SUM(L55:AD55)</f>
        <v/>
      </c>
      <c r="AF55" s="107">
        <f>J55*AE55</f>
        <v/>
      </c>
      <c r="AG55" s="242" t="inlineStr">
        <is>
          <t>ZSS</t>
        </is>
      </c>
      <c r="AH55" s="1752" t="n"/>
      <c r="AI55" s="1752" t="n"/>
      <c r="AJ55" s="1752" t="n"/>
      <c r="AK55" s="108" t="n">
        <v>0</v>
      </c>
    </row>
    <row r="56" ht="30" customHeight="1">
      <c r="A56" s="1763" t="inlineStr">
        <is>
          <t>C</t>
        </is>
      </c>
      <c r="B56" s="48" t="inlineStr">
        <is>
          <t>IP01</t>
        </is>
      </c>
      <c r="C56" s="49" t="inlineStr">
        <is>
          <t>FGA22</t>
        </is>
      </c>
      <c r="D56" s="50" t="inlineStr">
        <is>
          <t>NIKE ZOOM VOMERO 5 PAD</t>
        </is>
      </c>
      <c r="E56" s="49" t="inlineStr">
        <is>
          <t>BV1358-003</t>
        </is>
      </c>
      <c r="F56" s="51" t="inlineStr">
        <is>
          <t>BLACK</t>
        </is>
      </c>
      <c r="G56" s="52" t="inlineStr">
        <is>
          <t>NO</t>
        </is>
      </c>
      <c r="H56" s="53" t="inlineStr">
        <is>
          <t>NO</t>
        </is>
      </c>
      <c r="I56" s="54" t="inlineStr">
        <is>
          <t>LCIP 003</t>
        </is>
      </c>
      <c r="J56" s="1742" t="n">
        <v>0.035</v>
      </c>
      <c r="K56" s="56" t="inlineStr">
        <is>
          <t>ME</t>
        </is>
      </c>
      <c r="L56" s="1743" t="n"/>
      <c r="M56" s="1743" t="n"/>
      <c r="N56" s="1743" t="n">
        <v>0</v>
      </c>
      <c r="O56" s="1743" t="n">
        <v>0</v>
      </c>
      <c r="P56" s="1743" t="n">
        <v>0</v>
      </c>
      <c r="Q56" s="1743" t="n">
        <v>0</v>
      </c>
      <c r="R56" s="1743" t="n"/>
      <c r="S56" s="1743" t="n">
        <v>48</v>
      </c>
      <c r="T56" s="1743" t="n"/>
      <c r="U56" s="1743" t="n"/>
      <c r="V56" s="58" t="n"/>
      <c r="W56" s="58" t="n"/>
      <c r="X56" s="58" t="n"/>
      <c r="Y56" s="58" t="n"/>
      <c r="Z56" s="58" t="n"/>
      <c r="AA56" s="58" t="n"/>
      <c r="AB56" s="58" t="n"/>
      <c r="AC56" s="58" t="n"/>
      <c r="AD56" s="58" t="n"/>
      <c r="AE56" s="46">
        <f>SUM(L56:AD56)</f>
        <v/>
      </c>
      <c r="AF56" s="47">
        <f>J56*AE56</f>
        <v/>
      </c>
      <c r="AG56" s="192" t="inlineStr">
        <is>
          <t>FINISH ORDER CHANGE STYLE</t>
        </is>
      </c>
      <c r="AH56" s="1573" t="n">
        <v>3045</v>
      </c>
      <c r="AI56" s="1573" t="n">
        <v>396</v>
      </c>
      <c r="AJ56" s="1573">
        <f>SUM(AK56:AK60)</f>
        <v/>
      </c>
      <c r="AK56" s="1576" t="n">
        <v>5957</v>
      </c>
    </row>
    <row r="57" ht="30" customHeight="1">
      <c r="A57" s="1738" t="n"/>
      <c r="B57" s="48" t="inlineStr">
        <is>
          <t>IP01</t>
        </is>
      </c>
      <c r="C57" s="49" t="inlineStr">
        <is>
          <t>FGA22</t>
        </is>
      </c>
      <c r="D57" s="50" t="inlineStr">
        <is>
          <t>NIKE ZOOM VOMERO 5</t>
        </is>
      </c>
      <c r="E57" s="51" t="inlineStr">
        <is>
          <t>IM3486-003</t>
        </is>
      </c>
      <c r="F57" s="51" t="inlineStr">
        <is>
          <t>BLACK</t>
        </is>
      </c>
      <c r="G57" s="52" t="inlineStr">
        <is>
          <t>NO</t>
        </is>
      </c>
      <c r="H57" s="53" t="inlineStr">
        <is>
          <t>NO</t>
        </is>
      </c>
      <c r="I57" s="54" t="inlineStr">
        <is>
          <t>LCIP 003</t>
        </is>
      </c>
      <c r="J57" s="1742" t="n">
        <v>0.035</v>
      </c>
      <c r="K57" s="56" t="inlineStr">
        <is>
          <t>ME</t>
        </is>
      </c>
      <c r="L57" s="1743" t="n"/>
      <c r="M57" s="1743" t="n"/>
      <c r="N57" s="1743" t="n"/>
      <c r="O57" s="1743" t="n"/>
      <c r="P57" s="1743" t="n"/>
      <c r="Q57" s="1743" t="n"/>
      <c r="R57" s="1743" t="n"/>
      <c r="S57" s="1743" t="n"/>
      <c r="T57" s="1743" t="n"/>
      <c r="U57" s="1743" t="n"/>
      <c r="V57" s="58" t="n"/>
      <c r="W57" s="58" t="n"/>
      <c r="X57" s="58" t="n"/>
      <c r="Y57" s="58" t="n">
        <v>625</v>
      </c>
      <c r="Z57" s="58" t="n">
        <v>2208</v>
      </c>
      <c r="AA57" s="58" t="n"/>
      <c r="AB57" s="58" t="n"/>
      <c r="AC57" s="58" t="n"/>
      <c r="AD57" s="58" t="n"/>
      <c r="AE57" s="46">
        <f>SUM(L57:AD57)</f>
        <v/>
      </c>
      <c r="AF57" s="47">
        <f>J57*AE57</f>
        <v/>
      </c>
      <c r="AG57" s="192" t="n"/>
      <c r="AH57" s="1745" t="n"/>
      <c r="AI57" s="1745" t="n"/>
      <c r="AJ57" s="1745" t="n"/>
      <c r="AK57" s="1576" t="n">
        <v>0</v>
      </c>
    </row>
    <row r="58" ht="30" customHeight="1">
      <c r="A58" s="1738" t="n"/>
      <c r="B58" s="109" t="inlineStr">
        <is>
          <t>II91</t>
        </is>
      </c>
      <c r="C58" s="49" t="inlineStr">
        <is>
          <t>FGA22</t>
        </is>
      </c>
      <c r="D58" s="50" t="inlineStr">
        <is>
          <t>NIKE ZOOM VOMERO 5</t>
        </is>
      </c>
      <c r="E58" s="117" t="inlineStr">
        <is>
          <t>IM3486-003</t>
        </is>
      </c>
      <c r="F58" s="51" t="inlineStr">
        <is>
          <t>COCONUT MILK</t>
        </is>
      </c>
      <c r="G58" s="52" t="inlineStr">
        <is>
          <t>NO</t>
        </is>
      </c>
      <c r="H58" s="53" t="inlineStr">
        <is>
          <t>NO</t>
        </is>
      </c>
      <c r="I58" s="110" t="inlineStr">
        <is>
          <t>CMP 010</t>
        </is>
      </c>
      <c r="J58" s="1742" t="n">
        <v>0.169</v>
      </c>
      <c r="K58" s="56" t="inlineStr">
        <is>
          <t>ME</t>
        </is>
      </c>
      <c r="L58" s="1743" t="n"/>
      <c r="M58" s="1743" t="n"/>
      <c r="N58" s="1743" t="n"/>
      <c r="O58" s="1743" t="n"/>
      <c r="P58" s="1743" t="n"/>
      <c r="Q58" s="1743" t="n"/>
      <c r="R58" s="1743" t="n"/>
      <c r="S58" s="1743" t="n"/>
      <c r="T58" s="1743" t="n"/>
      <c r="U58" s="1743" t="n"/>
      <c r="V58" s="58" t="n"/>
      <c r="W58" s="58" t="n"/>
      <c r="X58" s="58" t="n"/>
      <c r="Y58" s="58" t="n">
        <v>625</v>
      </c>
      <c r="Z58" s="58" t="n">
        <v>2208</v>
      </c>
      <c r="AA58" s="58" t="n"/>
      <c r="AB58" s="58" t="n"/>
      <c r="AC58" s="58" t="n"/>
      <c r="AD58" s="58" t="n"/>
      <c r="AE58" s="46">
        <f>SUM(L58:AD58)</f>
        <v/>
      </c>
      <c r="AF58" s="47">
        <f>J58*AE58</f>
        <v/>
      </c>
      <c r="AG58" s="192" t="n"/>
      <c r="AH58" s="1745" t="n"/>
      <c r="AI58" s="1745" t="n"/>
      <c r="AJ58" s="1745" t="n"/>
      <c r="AK58" s="1576" t="n">
        <v>0</v>
      </c>
    </row>
    <row r="59" ht="30" customHeight="1">
      <c r="A59" s="1738" t="n"/>
      <c r="B59" s="122" t="inlineStr">
        <is>
          <t>IP01</t>
        </is>
      </c>
      <c r="C59" s="49" t="inlineStr">
        <is>
          <t>FGA22</t>
        </is>
      </c>
      <c r="D59" s="50" t="inlineStr">
        <is>
          <t>W NIKE ZOOM VOMERO 5</t>
        </is>
      </c>
      <c r="E59" s="51" t="inlineStr">
        <is>
          <t>IV5738-133</t>
        </is>
      </c>
      <c r="F59" s="51" t="inlineStr">
        <is>
          <t>CUCUMBER CALM</t>
        </is>
      </c>
      <c r="G59" s="52" t="inlineStr">
        <is>
          <t>NO</t>
        </is>
      </c>
      <c r="H59" s="53" t="inlineStr">
        <is>
          <t>NO</t>
        </is>
      </c>
      <c r="I59" s="54" t="inlineStr">
        <is>
          <t>LCIP 003</t>
        </is>
      </c>
      <c r="J59" s="1742" t="n">
        <v>0.0306</v>
      </c>
      <c r="K59" s="56" t="inlineStr">
        <is>
          <t>WO</t>
        </is>
      </c>
      <c r="L59" s="1743" t="n"/>
      <c r="M59" s="1743" t="n"/>
      <c r="N59" s="1743" t="n"/>
      <c r="O59" s="1743" t="n"/>
      <c r="P59" s="1743" t="n"/>
      <c r="Q59" s="1743" t="n"/>
      <c r="R59" s="1743" t="n"/>
      <c r="S59" s="1743" t="n"/>
      <c r="T59" s="1743" t="n"/>
      <c r="U59" s="1743" t="n">
        <v>936</v>
      </c>
      <c r="V59" s="58" t="n">
        <v>1674</v>
      </c>
      <c r="W59" s="58" t="n">
        <v>1800</v>
      </c>
      <c r="X59" s="58" t="n">
        <v>1284</v>
      </c>
      <c r="Y59" s="58" t="n">
        <v>1379</v>
      </c>
      <c r="Z59" s="58" t="n"/>
      <c r="AA59" s="58" t="n"/>
      <c r="AB59" s="58" t="n"/>
      <c r="AC59" s="58" t="n"/>
      <c r="AD59" s="58" t="n"/>
      <c r="AE59" s="46">
        <f>SUM(L59:AD59)</f>
        <v/>
      </c>
      <c r="AF59" s="47">
        <f>J59*AE59</f>
        <v/>
      </c>
      <c r="AG59" s="192" t="n"/>
      <c r="AH59" s="1745" t="n"/>
      <c r="AI59" s="1745" t="n"/>
      <c r="AJ59" s="1745" t="n"/>
      <c r="AK59" s="1576" t="n">
        <v>0</v>
      </c>
    </row>
    <row r="60" ht="30" customHeight="1" thickBot="1">
      <c r="A60" s="1738" t="n"/>
      <c r="B60" s="202" t="inlineStr">
        <is>
          <t>II91</t>
        </is>
      </c>
      <c r="C60" s="61" t="inlineStr">
        <is>
          <t>FGA22</t>
        </is>
      </c>
      <c r="D60" s="62" t="inlineStr">
        <is>
          <t>W NIKE ZOOM VOMERO 5</t>
        </is>
      </c>
      <c r="E60" s="203" t="inlineStr">
        <is>
          <t>IV5738-133</t>
        </is>
      </c>
      <c r="F60" s="63" t="inlineStr">
        <is>
          <t>SAIL</t>
        </is>
      </c>
      <c r="G60" s="64" t="inlineStr">
        <is>
          <t>CUCUMBER CALM</t>
        </is>
      </c>
      <c r="H60" s="65" t="inlineStr">
        <is>
          <t>NO</t>
        </is>
      </c>
      <c r="I60" s="204" t="inlineStr">
        <is>
          <t>CMP 010</t>
        </is>
      </c>
      <c r="J60" s="1739" t="n">
        <v>0.1408</v>
      </c>
      <c r="K60" s="68" t="inlineStr">
        <is>
          <t>WO</t>
        </is>
      </c>
      <c r="L60" s="1740" t="n"/>
      <c r="M60" s="1740" t="n"/>
      <c r="N60" s="1740" t="n"/>
      <c r="O60" s="1740" t="n"/>
      <c r="P60" s="1740" t="n"/>
      <c r="Q60" s="1740" t="n"/>
      <c r="R60" s="1740" t="n"/>
      <c r="S60" s="1740" t="n"/>
      <c r="T60" s="1740" t="n"/>
      <c r="U60" s="1740" t="n">
        <v>0</v>
      </c>
      <c r="V60" s="70" t="n">
        <v>0</v>
      </c>
      <c r="W60" s="70" t="n">
        <v>677</v>
      </c>
      <c r="X60" s="70" t="n">
        <v>1284</v>
      </c>
      <c r="Y60" s="70" t="n">
        <v>1379</v>
      </c>
      <c r="Z60" s="70" t="n"/>
      <c r="AA60" s="70" t="n"/>
      <c r="AB60" s="70" t="n"/>
      <c r="AC60" s="70" t="n"/>
      <c r="AD60" s="70" t="n"/>
      <c r="AE60" s="71">
        <f>SUM(L60:AD60)</f>
        <v/>
      </c>
      <c r="AF60" s="72">
        <f>J60*AE60</f>
        <v/>
      </c>
      <c r="AG60" s="193" t="n"/>
      <c r="AH60" s="1741" t="n"/>
      <c r="AI60" s="1741" t="n"/>
      <c r="AJ60" s="1741" t="n"/>
      <c r="AK60" s="73" t="n">
        <v>0</v>
      </c>
    </row>
    <row r="61" ht="30" customHeight="1">
      <c r="A61" s="1738" t="n"/>
      <c r="B61" s="116" t="inlineStr">
        <is>
          <t>IP01</t>
        </is>
      </c>
      <c r="C61" s="33" t="inlineStr">
        <is>
          <t>FGA23</t>
        </is>
      </c>
      <c r="D61" s="34" t="inlineStr">
        <is>
          <t>NIKE ZOOM VOMERO 5</t>
        </is>
      </c>
      <c r="E61" s="35" t="inlineStr">
        <is>
          <t>BV1358-001</t>
        </is>
      </c>
      <c r="F61" s="35" t="inlineStr">
        <is>
          <t>VAST GREY</t>
        </is>
      </c>
      <c r="G61" s="36" t="inlineStr">
        <is>
          <t>NO</t>
        </is>
      </c>
      <c r="H61" s="37" t="inlineStr">
        <is>
          <t>NO</t>
        </is>
      </c>
      <c r="I61" s="38" t="inlineStr">
        <is>
          <t>LCIP 003</t>
        </is>
      </c>
      <c r="J61" s="1746" t="n">
        <v>0.035</v>
      </c>
      <c r="K61" s="40" t="inlineStr">
        <is>
          <t>ME</t>
        </is>
      </c>
      <c r="L61" s="1747" t="n"/>
      <c r="M61" s="1747" t="n"/>
      <c r="N61" s="1747" t="n"/>
      <c r="O61" s="1747" t="n"/>
      <c r="P61" s="1747" t="n"/>
      <c r="Q61" s="1747" t="n"/>
      <c r="R61" s="1747" t="n"/>
      <c r="S61" s="1747" t="n"/>
      <c r="T61" s="1747" t="n">
        <v>0</v>
      </c>
      <c r="U61" s="1747" t="n">
        <v>70</v>
      </c>
      <c r="V61" s="42" t="n">
        <v>549</v>
      </c>
      <c r="W61" s="42" t="n"/>
      <c r="X61" s="42" t="n"/>
      <c r="Y61" s="42" t="n">
        <v>2118</v>
      </c>
      <c r="Z61" s="42" t="n">
        <v>809</v>
      </c>
      <c r="AA61" s="42" t="n"/>
      <c r="AB61" s="42" t="n"/>
      <c r="AC61" s="42" t="n"/>
      <c r="AD61" s="42" t="n"/>
      <c r="AE61" s="43">
        <f>SUM(L61:AD61)</f>
        <v/>
      </c>
      <c r="AF61" s="44">
        <f>J61*AE61</f>
        <v/>
      </c>
      <c r="AG61" s="191" t="n"/>
      <c r="AH61" s="1744" t="n">
        <v>4431</v>
      </c>
      <c r="AI61" s="1744">
        <f>1005+72+276</f>
        <v/>
      </c>
      <c r="AJ61" s="1744">
        <f>SUM(AK61:AK67)</f>
        <v/>
      </c>
      <c r="AK61" s="45" t="n">
        <v>3374</v>
      </c>
    </row>
    <row r="62" ht="30" customHeight="1">
      <c r="A62" s="1738" t="n"/>
      <c r="B62" s="109" t="inlineStr">
        <is>
          <t>II91</t>
        </is>
      </c>
      <c r="C62" s="49" t="inlineStr">
        <is>
          <t>FGA23</t>
        </is>
      </c>
      <c r="D62" s="50" t="inlineStr">
        <is>
          <t>NIKE ZOOM VOMERO 5</t>
        </is>
      </c>
      <c r="E62" s="117" t="inlineStr">
        <is>
          <t>BV1358-001</t>
        </is>
      </c>
      <c r="F62" s="51" t="inlineStr">
        <is>
          <t>VAST GREY</t>
        </is>
      </c>
      <c r="G62" s="52" t="inlineStr">
        <is>
          <t>NO</t>
        </is>
      </c>
      <c r="H62" s="53" t="inlineStr">
        <is>
          <t>NO</t>
        </is>
      </c>
      <c r="I62" s="110" t="inlineStr">
        <is>
          <t>CMP 010</t>
        </is>
      </c>
      <c r="J62" s="1742" t="n">
        <v>0.169</v>
      </c>
      <c r="K62" s="56" t="inlineStr">
        <is>
          <t>ME</t>
        </is>
      </c>
      <c r="L62" s="1743" t="n"/>
      <c r="M62" s="1743" t="n"/>
      <c r="N62" s="1743" t="n"/>
      <c r="O62" s="1743" t="n"/>
      <c r="P62" s="1743" t="n"/>
      <c r="Q62" s="1743" t="n"/>
      <c r="R62" s="1743" t="n"/>
      <c r="S62" s="1743" t="n"/>
      <c r="T62" s="1743" t="n">
        <v>0</v>
      </c>
      <c r="U62" s="1743" t="n">
        <v>9</v>
      </c>
      <c r="V62" s="58" t="n">
        <v>522</v>
      </c>
      <c r="W62" s="58" t="n"/>
      <c r="X62" s="58" t="n"/>
      <c r="Y62" s="58" t="n">
        <v>2208</v>
      </c>
      <c r="Z62" s="58" t="n">
        <v>809</v>
      </c>
      <c r="AA62" s="58" t="n"/>
      <c r="AB62" s="58" t="n"/>
      <c r="AC62" s="58" t="n"/>
      <c r="AD62" s="58" t="n"/>
      <c r="AE62" s="46">
        <f>SUM(L62:AD62)</f>
        <v/>
      </c>
      <c r="AF62" s="47">
        <f>J62*AE62</f>
        <v/>
      </c>
      <c r="AG62" s="192" t="n"/>
      <c r="AH62" s="1745" t="n"/>
      <c r="AI62" s="1745" t="n"/>
      <c r="AJ62" s="1745" t="n"/>
      <c r="AK62" s="1576" t="n">
        <v>468</v>
      </c>
    </row>
    <row r="63" ht="30" customHeight="1">
      <c r="A63" s="1738" t="n"/>
      <c r="B63" s="122" t="inlineStr">
        <is>
          <t>IP01</t>
        </is>
      </c>
      <c r="C63" s="49" t="inlineStr">
        <is>
          <t>FGA23</t>
        </is>
      </c>
      <c r="D63" s="50" t="inlineStr">
        <is>
          <t>W NIKE ZOOM VOMERO 5</t>
        </is>
      </c>
      <c r="E63" s="51" t="inlineStr">
        <is>
          <t>II6236-001</t>
        </is>
      </c>
      <c r="F63" s="51" t="inlineStr">
        <is>
          <t>BLACK</t>
        </is>
      </c>
      <c r="G63" s="52" t="inlineStr">
        <is>
          <t>NO</t>
        </is>
      </c>
      <c r="H63" s="53" t="inlineStr">
        <is>
          <t>NO</t>
        </is>
      </c>
      <c r="I63" s="54" t="inlineStr">
        <is>
          <t>LCIP 003</t>
        </is>
      </c>
      <c r="J63" s="1742" t="n">
        <v>0.0306</v>
      </c>
      <c r="K63" s="56" t="inlineStr">
        <is>
          <t>WO</t>
        </is>
      </c>
      <c r="L63" s="1743" t="n"/>
      <c r="M63" s="1743" t="n"/>
      <c r="N63" s="1743" t="n"/>
      <c r="O63" s="1743" t="n"/>
      <c r="P63" s="1743" t="n"/>
      <c r="Q63" s="1743" t="n"/>
      <c r="R63" s="1743" t="n"/>
      <c r="S63" s="1743" t="n"/>
      <c r="T63" s="1743" t="n"/>
      <c r="U63" s="1743" t="n"/>
      <c r="V63" s="58" t="n"/>
      <c r="W63" s="58" t="n"/>
      <c r="X63" s="58" t="n"/>
      <c r="Y63" s="58" t="n"/>
      <c r="Z63" s="58" t="n">
        <v>1399</v>
      </c>
      <c r="AA63" s="58" t="n"/>
      <c r="AB63" s="58" t="n"/>
      <c r="AC63" s="58" t="n"/>
      <c r="AD63" s="58" t="n"/>
      <c r="AE63" s="46">
        <f>SUM(L63:AD63)</f>
        <v/>
      </c>
      <c r="AF63" s="47">
        <f>J63*AE63</f>
        <v/>
      </c>
      <c r="AG63" s="192" t="n"/>
      <c r="AH63" s="1745" t="n"/>
      <c r="AI63" s="1745" t="n"/>
      <c r="AJ63" s="1745" t="n"/>
      <c r="AK63" s="1576" t="n">
        <v>2581</v>
      </c>
    </row>
    <row r="64" ht="30" customHeight="1">
      <c r="A64" s="1738" t="n"/>
      <c r="B64" s="109" t="inlineStr">
        <is>
          <t>II91</t>
        </is>
      </c>
      <c r="C64" s="49" t="inlineStr">
        <is>
          <t>FGA23</t>
        </is>
      </c>
      <c r="D64" s="50" t="inlineStr">
        <is>
          <t>W NIKE ZOOM VOMERO 5</t>
        </is>
      </c>
      <c r="E64" s="117" t="inlineStr">
        <is>
          <t>II6236-001</t>
        </is>
      </c>
      <c r="F64" s="51" t="inlineStr">
        <is>
          <t>BLACK</t>
        </is>
      </c>
      <c r="G64" s="52" t="inlineStr">
        <is>
          <t>NO</t>
        </is>
      </c>
      <c r="H64" s="53" t="inlineStr">
        <is>
          <t>NO</t>
        </is>
      </c>
      <c r="I64" s="110" t="inlineStr">
        <is>
          <t>CMP 010</t>
        </is>
      </c>
      <c r="J64" s="1742" t="n">
        <v>0.1408</v>
      </c>
      <c r="K64" s="56" t="inlineStr">
        <is>
          <t>WO</t>
        </is>
      </c>
      <c r="L64" s="1743" t="n"/>
      <c r="M64" s="1743" t="n"/>
      <c r="N64" s="1743" t="n"/>
      <c r="O64" s="1743" t="n"/>
      <c r="P64" s="1743" t="n"/>
      <c r="Q64" s="1743" t="n"/>
      <c r="R64" s="1743" t="n"/>
      <c r="S64" s="1743" t="n"/>
      <c r="T64" s="1743" t="n"/>
      <c r="U64" s="1743" t="n"/>
      <c r="V64" s="58" t="n"/>
      <c r="W64" s="58" t="n"/>
      <c r="X64" s="58" t="n"/>
      <c r="Y64" s="58" t="n"/>
      <c r="Z64" s="58" t="n">
        <v>1399</v>
      </c>
      <c r="AA64" s="58" t="n"/>
      <c r="AB64" s="58" t="n"/>
      <c r="AC64" s="58" t="n"/>
      <c r="AD64" s="58" t="n"/>
      <c r="AE64" s="46">
        <f>SUM(L64:AD64)</f>
        <v/>
      </c>
      <c r="AF64" s="47">
        <f>J64*AE64</f>
        <v/>
      </c>
      <c r="AG64" s="192" t="n"/>
      <c r="AH64" s="1745" t="n"/>
      <c r="AI64" s="1745" t="n"/>
      <c r="AJ64" s="1745" t="n"/>
      <c r="AK64" s="1576" t="n">
        <v>956</v>
      </c>
    </row>
    <row r="65" ht="30" customHeight="1">
      <c r="A65" s="1738" t="n"/>
      <c r="B65" s="109" t="inlineStr">
        <is>
          <t>II91</t>
        </is>
      </c>
      <c r="C65" s="49" t="inlineStr">
        <is>
          <t>FGA23</t>
        </is>
      </c>
      <c r="D65" s="50" t="inlineStr">
        <is>
          <t>NIKE ZOOM VOMERO 5 SE LOS SD</t>
        </is>
      </c>
      <c r="E65" s="117" t="inlineStr">
        <is>
          <t>IV6857-001</t>
        </is>
      </c>
      <c r="F65" s="51" t="inlineStr">
        <is>
          <t>SUMMIT WHITE(12J)</t>
        </is>
      </c>
      <c r="G65" s="52" t="inlineStr">
        <is>
          <t>PURE PLATINUM</t>
        </is>
      </c>
      <c r="H65" s="53" t="inlineStr">
        <is>
          <t>NO</t>
        </is>
      </c>
      <c r="I65" s="110" t="inlineStr">
        <is>
          <t>CMP 010</t>
        </is>
      </c>
      <c r="J65" s="1742" t="n">
        <v>0.169</v>
      </c>
      <c r="K65" s="56" t="inlineStr">
        <is>
          <t>ME</t>
        </is>
      </c>
      <c r="L65" s="1743" t="n"/>
      <c r="M65" s="1743" t="n"/>
      <c r="N65" s="1743" t="n"/>
      <c r="O65" s="1743" t="n"/>
      <c r="P65" s="1743" t="n"/>
      <c r="Q65" s="1743" t="n"/>
      <c r="R65" s="1743" t="n"/>
      <c r="S65" s="1743" t="n"/>
      <c r="T65" s="1743" t="n"/>
      <c r="U65" s="1743" t="n">
        <v>12</v>
      </c>
      <c r="V65" s="58" t="n"/>
      <c r="W65" s="58" t="n"/>
      <c r="X65" s="58" t="n"/>
      <c r="Y65" s="58" t="n"/>
      <c r="Z65" s="58" t="n"/>
      <c r="AA65" s="58" t="n"/>
      <c r="AB65" s="58" t="n"/>
      <c r="AC65" s="58" t="n"/>
      <c r="AD65" s="58" t="n"/>
      <c r="AE65" s="46">
        <f>SUM(L65:AD65)</f>
        <v/>
      </c>
      <c r="AF65" s="47">
        <f>J65*AE65</f>
        <v/>
      </c>
      <c r="AG65" s="192" t="inlineStr">
        <is>
          <t>FINISH ORDER CHANGE STYLE</t>
        </is>
      </c>
      <c r="AH65" s="1745" t="n"/>
      <c r="AI65" s="1745" t="n"/>
      <c r="AJ65" s="1745" t="n"/>
      <c r="AK65" s="1576" t="n">
        <v>96</v>
      </c>
    </row>
    <row r="66" ht="30" customHeight="1">
      <c r="A66" s="1738" t="n"/>
      <c r="B66" s="122" t="inlineStr">
        <is>
          <t>IP01</t>
        </is>
      </c>
      <c r="C66" s="49" t="inlineStr">
        <is>
          <t>FGA23</t>
        </is>
      </c>
      <c r="D66" s="50" t="inlineStr">
        <is>
          <t>NIKE ZOOM VOMERO 5 SE LOS SD</t>
        </is>
      </c>
      <c r="E66" s="51" t="inlineStr">
        <is>
          <t>IV6857-002</t>
        </is>
      </c>
      <c r="F66" s="51" t="inlineStr">
        <is>
          <t>COLLEGE GREY</t>
        </is>
      </c>
      <c r="G66" s="52" t="inlineStr">
        <is>
          <t>NO</t>
        </is>
      </c>
      <c r="H66" s="53" t="inlineStr">
        <is>
          <t>NO</t>
        </is>
      </c>
      <c r="I66" s="54" t="inlineStr">
        <is>
          <t>LCIP 003</t>
        </is>
      </c>
      <c r="J66" s="1742" t="n">
        <v>0.035</v>
      </c>
      <c r="K66" s="56" t="inlineStr">
        <is>
          <t>ME</t>
        </is>
      </c>
      <c r="L66" s="1743" t="n">
        <v>0</v>
      </c>
      <c r="M66" s="1743" t="n"/>
      <c r="N66" s="1743" t="n"/>
      <c r="O66" s="1743" t="n"/>
      <c r="P66" s="1743" t="n"/>
      <c r="Q66" s="1743" t="n"/>
      <c r="R66" s="1743" t="n"/>
      <c r="S66" s="1743" t="n">
        <v>136</v>
      </c>
      <c r="T66" s="1743" t="n">
        <v>494</v>
      </c>
      <c r="U66" s="1743" t="n"/>
      <c r="V66" s="58" t="n"/>
      <c r="W66" s="58" t="n"/>
      <c r="X66" s="58" t="n"/>
      <c r="Y66" s="58" t="n"/>
      <c r="Z66" s="58" t="n"/>
      <c r="AA66" s="58" t="n"/>
      <c r="AB66" s="58" t="n"/>
      <c r="AC66" s="58" t="n"/>
      <c r="AD66" s="58" t="n"/>
      <c r="AE66" s="46">
        <f>SUM(L66:AD66)</f>
        <v/>
      </c>
      <c r="AF66" s="47">
        <f>J66*AE66</f>
        <v/>
      </c>
      <c r="AG66" s="192" t="inlineStr">
        <is>
          <t>FINISH ORDER CHANGE STYLE</t>
        </is>
      </c>
      <c r="AH66" s="1745" t="n"/>
      <c r="AI66" s="1745" t="n"/>
      <c r="AJ66" s="1745" t="n"/>
      <c r="AK66" s="1576" t="n">
        <v>1404</v>
      </c>
    </row>
    <row r="67" ht="30" customHeight="1" thickBot="1">
      <c r="A67" s="1764" t="n"/>
      <c r="B67" s="202" t="inlineStr">
        <is>
          <t>II91</t>
        </is>
      </c>
      <c r="C67" s="61" t="inlineStr">
        <is>
          <t>FGA23</t>
        </is>
      </c>
      <c r="D67" s="62" t="inlineStr">
        <is>
          <t>NIKE ZOOM VOMERO 5 SE LOS SD</t>
        </is>
      </c>
      <c r="E67" s="203" t="inlineStr">
        <is>
          <t>IV6857-002</t>
        </is>
      </c>
      <c r="F67" s="63" t="inlineStr">
        <is>
          <t>SAIL</t>
        </is>
      </c>
      <c r="G67" s="64" t="inlineStr">
        <is>
          <t>COLLEGE GREY</t>
        </is>
      </c>
      <c r="H67" s="65" t="inlineStr">
        <is>
          <t>NO</t>
        </is>
      </c>
      <c r="I67" s="204" t="inlineStr">
        <is>
          <t>CMP 010</t>
        </is>
      </c>
      <c r="J67" s="1739" t="n">
        <v>0.169</v>
      </c>
      <c r="K67" s="68" t="inlineStr">
        <is>
          <t>ME</t>
        </is>
      </c>
      <c r="L67" s="1740" t="n">
        <v>0</v>
      </c>
      <c r="M67" s="1740" t="n"/>
      <c r="N67" s="1740" t="n"/>
      <c r="O67" s="1740" t="n"/>
      <c r="P67" s="1740" t="n"/>
      <c r="Q67" s="1740" t="n"/>
      <c r="R67" s="1740" t="n"/>
      <c r="S67" s="1740" t="n">
        <v>0</v>
      </c>
      <c r="T67" s="1740" t="n">
        <v>65</v>
      </c>
      <c r="U67" s="174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1">
        <f>SUM(L67:AD67)</f>
        <v/>
      </c>
      <c r="AF67" s="72">
        <f>J67*AE67</f>
        <v/>
      </c>
      <c r="AG67" s="193" t="inlineStr">
        <is>
          <t>FINISH ORDER CHANGE STYLE</t>
        </is>
      </c>
      <c r="AH67" s="1741" t="n"/>
      <c r="AI67" s="1741" t="n"/>
      <c r="AJ67" s="1741" t="n"/>
      <c r="AK67" s="73" t="n">
        <v>237</v>
      </c>
    </row>
    <row r="68" ht="30" customHeight="1">
      <c r="A68" s="1571" t="n"/>
      <c r="B68" s="122" t="inlineStr">
        <is>
          <t>IP02</t>
        </is>
      </c>
      <c r="C68" s="49" t="inlineStr">
        <is>
          <t>FGA31</t>
        </is>
      </c>
      <c r="D68" s="50" t="inlineStr">
        <is>
          <t>AIR MAX DAWN TOE</t>
        </is>
      </c>
      <c r="E68" s="19" t="inlineStr">
        <is>
          <t>DM0013-100</t>
        </is>
      </c>
      <c r="F68" s="21" t="inlineStr">
        <is>
          <t>BLACK</t>
        </is>
      </c>
      <c r="G68" s="22" t="inlineStr">
        <is>
          <t>NO</t>
        </is>
      </c>
      <c r="H68" s="23" t="inlineStr">
        <is>
          <t>NO</t>
        </is>
      </c>
      <c r="I68" s="54" t="inlineStr">
        <is>
          <t>OEF 006</t>
        </is>
      </c>
      <c r="J68" s="1742" t="n"/>
      <c r="K68" s="56" t="inlineStr">
        <is>
          <t>ME</t>
        </is>
      </c>
      <c r="L68" s="1737" t="n"/>
      <c r="M68" s="1737" t="n"/>
      <c r="N68" s="1737" t="n"/>
      <c r="O68" s="1737" t="n"/>
      <c r="P68" s="1737" t="n"/>
      <c r="Q68" s="1737" t="n"/>
      <c r="R68" s="1737" t="n"/>
      <c r="S68" s="1737" t="n"/>
      <c r="T68" s="1737" t="n"/>
      <c r="U68" s="1737" t="n"/>
      <c r="V68" s="28" t="n">
        <v>173</v>
      </c>
      <c r="W68" s="28" t="n">
        <v>683</v>
      </c>
      <c r="X68" s="28" t="n"/>
      <c r="Y68" s="28" t="n"/>
      <c r="Z68" s="28" t="n"/>
      <c r="AA68" s="28" t="n"/>
      <c r="AB68" s="28" t="n"/>
      <c r="AC68" s="28" t="n"/>
      <c r="AD68" s="28" t="n"/>
      <c r="AE68" s="29">
        <f>SUM(L68:AD68)</f>
        <v/>
      </c>
      <c r="AF68" s="30">
        <f>J68*AE68</f>
        <v/>
      </c>
      <c r="AG68" s="190" t="n"/>
      <c r="AH68" s="1573" t="n">
        <v>1658</v>
      </c>
      <c r="AI68" s="1573" t="n"/>
      <c r="AJ68" s="1573">
        <f>SUM(AK68:AK75)</f>
        <v/>
      </c>
      <c r="AK68" s="1576" t="n">
        <v>879</v>
      </c>
    </row>
    <row r="69" ht="30" customHeight="1">
      <c r="A69" s="1738" t="n"/>
      <c r="B69" s="113" t="inlineStr">
        <is>
          <t>IP03</t>
        </is>
      </c>
      <c r="C69" s="19" t="inlineStr">
        <is>
          <t>FGA31</t>
        </is>
      </c>
      <c r="D69" s="20" t="inlineStr">
        <is>
          <t>AIR MAX DAWN HEEL</t>
        </is>
      </c>
      <c r="E69" s="19" t="inlineStr">
        <is>
          <t>DM0013-100</t>
        </is>
      </c>
      <c r="F69" s="21" t="inlineStr">
        <is>
          <t>BLACK</t>
        </is>
      </c>
      <c r="G69" s="22" t="inlineStr">
        <is>
          <t>NO</t>
        </is>
      </c>
      <c r="H69" s="23" t="inlineStr">
        <is>
          <t>NO</t>
        </is>
      </c>
      <c r="I69" s="24" t="inlineStr">
        <is>
          <t>OEF 006</t>
        </is>
      </c>
      <c r="J69" s="1736" t="n"/>
      <c r="K69" s="26" t="inlineStr">
        <is>
          <t>ME</t>
        </is>
      </c>
      <c r="L69" s="1737" t="n"/>
      <c r="M69" s="1737" t="n"/>
      <c r="N69" s="1737" t="n"/>
      <c r="O69" s="1737" t="n"/>
      <c r="P69" s="1737" t="n"/>
      <c r="Q69" s="1737" t="n"/>
      <c r="R69" s="1737" t="n"/>
      <c r="S69" s="1737" t="n"/>
      <c r="T69" s="1737" t="n"/>
      <c r="U69" s="1737" t="n"/>
      <c r="V69" s="28" t="n">
        <v>173</v>
      </c>
      <c r="W69" s="28" t="n">
        <v>683</v>
      </c>
      <c r="X69" s="28" t="n"/>
      <c r="Y69" s="28" t="n"/>
      <c r="Z69" s="28" t="n"/>
      <c r="AA69" s="28" t="n"/>
      <c r="AB69" s="28" t="n"/>
      <c r="AC69" s="28" t="n"/>
      <c r="AD69" s="28" t="n"/>
      <c r="AE69" s="29">
        <f>SUM(L69:AD69)</f>
        <v/>
      </c>
      <c r="AF69" s="30">
        <f>J69*AE69</f>
        <v/>
      </c>
      <c r="AG69" s="190" t="n"/>
      <c r="AH69" s="1745" t="n"/>
      <c r="AI69" s="1745" t="n"/>
      <c r="AJ69" s="1745" t="n"/>
      <c r="AK69" s="1757" t="n"/>
    </row>
    <row r="70" ht="30" customHeight="1">
      <c r="A70" s="1738" t="n"/>
      <c r="B70" s="122" t="inlineStr">
        <is>
          <t>IP02</t>
        </is>
      </c>
      <c r="C70" s="49" t="inlineStr">
        <is>
          <t>FGA31</t>
        </is>
      </c>
      <c r="D70" s="50" t="inlineStr">
        <is>
          <t>AIR MAX DAWN TOE</t>
        </is>
      </c>
      <c r="E70" s="19" t="inlineStr">
        <is>
          <t>DM0013-106</t>
        </is>
      </c>
      <c r="F70" s="21" t="inlineStr">
        <is>
          <t>BLACK</t>
        </is>
      </c>
      <c r="G70" s="22" t="inlineStr">
        <is>
          <t>NO</t>
        </is>
      </c>
      <c r="H70" s="23" t="inlineStr">
        <is>
          <t>NO</t>
        </is>
      </c>
      <c r="I70" s="54" t="inlineStr">
        <is>
          <t>OEF 006</t>
        </is>
      </c>
      <c r="J70" s="1742" t="n"/>
      <c r="K70" s="56" t="inlineStr">
        <is>
          <t>ME</t>
        </is>
      </c>
      <c r="L70" s="1737" t="n"/>
      <c r="M70" s="1737" t="n"/>
      <c r="N70" s="1737" t="n"/>
      <c r="O70" s="1737" t="n"/>
      <c r="P70" s="1737" t="n"/>
      <c r="Q70" s="1737" t="n"/>
      <c r="R70" s="1737" t="n"/>
      <c r="S70" s="1737" t="n"/>
      <c r="T70" s="1737" t="n"/>
      <c r="U70" s="1737" t="n"/>
      <c r="V70" s="28" t="n"/>
      <c r="W70" s="28" t="n">
        <v>1390</v>
      </c>
      <c r="X70" s="28" t="n">
        <v>1680</v>
      </c>
      <c r="Y70" s="28" t="n">
        <v>301</v>
      </c>
      <c r="Z70" s="28" t="n"/>
      <c r="AA70" s="28" t="n"/>
      <c r="AB70" s="28" t="n"/>
      <c r="AC70" s="28" t="n"/>
      <c r="AD70" s="28" t="n"/>
      <c r="AE70" s="29">
        <f>SUM(L70:AD70)</f>
        <v/>
      </c>
      <c r="AF70" s="30">
        <f>J70*AE70</f>
        <v/>
      </c>
      <c r="AG70" s="190" t="n"/>
      <c r="AH70" s="1745" t="n"/>
      <c r="AI70" s="1745" t="n"/>
      <c r="AJ70" s="1745" t="n"/>
      <c r="AK70" s="1576" t="n">
        <v>72</v>
      </c>
    </row>
    <row r="71" ht="30" customHeight="1">
      <c r="A71" s="1738" t="n"/>
      <c r="B71" s="113" t="inlineStr">
        <is>
          <t>IP03</t>
        </is>
      </c>
      <c r="C71" s="19" t="inlineStr">
        <is>
          <t>FGA31</t>
        </is>
      </c>
      <c r="D71" s="20" t="inlineStr">
        <is>
          <t>AIR MAX DAWN HEEL</t>
        </is>
      </c>
      <c r="E71" s="19" t="inlineStr">
        <is>
          <t>DM0013-106</t>
        </is>
      </c>
      <c r="F71" s="21" t="inlineStr">
        <is>
          <t>BLACK</t>
        </is>
      </c>
      <c r="G71" s="22" t="inlineStr">
        <is>
          <t>NO</t>
        </is>
      </c>
      <c r="H71" s="23" t="inlineStr">
        <is>
          <t>NO</t>
        </is>
      </c>
      <c r="I71" s="24" t="inlineStr">
        <is>
          <t>OEF 006</t>
        </is>
      </c>
      <c r="J71" s="1736" t="n"/>
      <c r="K71" s="26" t="inlineStr">
        <is>
          <t>ME</t>
        </is>
      </c>
      <c r="L71" s="1737" t="n"/>
      <c r="M71" s="1737" t="n"/>
      <c r="N71" s="1737" t="n"/>
      <c r="O71" s="1737" t="n"/>
      <c r="P71" s="1737" t="n"/>
      <c r="Q71" s="1737" t="n"/>
      <c r="R71" s="1737" t="n"/>
      <c r="S71" s="1737" t="n"/>
      <c r="T71" s="1737" t="n"/>
      <c r="U71" s="1737" t="n"/>
      <c r="V71" s="28" t="n"/>
      <c r="W71" s="28" t="n">
        <v>1390</v>
      </c>
      <c r="X71" s="28" t="n">
        <v>1680</v>
      </c>
      <c r="Y71" s="28" t="n">
        <v>301</v>
      </c>
      <c r="Z71" s="28" t="n"/>
      <c r="AA71" s="28" t="n"/>
      <c r="AB71" s="28" t="n"/>
      <c r="AC71" s="28" t="n"/>
      <c r="AD71" s="28" t="n"/>
      <c r="AE71" s="29">
        <f>SUM(L71:AD71)</f>
        <v/>
      </c>
      <c r="AF71" s="30">
        <f>J71*AE71</f>
        <v/>
      </c>
      <c r="AG71" s="190" t="n"/>
      <c r="AH71" s="1745" t="n"/>
      <c r="AI71" s="1745" t="n"/>
      <c r="AJ71" s="1745" t="n"/>
      <c r="AK71" s="1757" t="n"/>
    </row>
    <row r="72" ht="30" customHeight="1">
      <c r="A72" s="1738" t="n"/>
      <c r="B72" s="122" t="inlineStr">
        <is>
          <t>IP02</t>
        </is>
      </c>
      <c r="C72" s="49" t="inlineStr">
        <is>
          <t>FGA31</t>
        </is>
      </c>
      <c r="D72" s="20" t="inlineStr">
        <is>
          <t>W AIR MAX DAWN</t>
        </is>
      </c>
      <c r="E72" s="19" t="inlineStr">
        <is>
          <t>DQ5016-100</t>
        </is>
      </c>
      <c r="F72" s="21" t="inlineStr">
        <is>
          <t>BLACK</t>
        </is>
      </c>
      <c r="G72" s="22" t="inlineStr">
        <is>
          <t>NO</t>
        </is>
      </c>
      <c r="H72" s="23" t="inlineStr">
        <is>
          <t>NO</t>
        </is>
      </c>
      <c r="I72" s="24" t="inlineStr">
        <is>
          <t>OEF 006</t>
        </is>
      </c>
      <c r="J72" s="1736" t="n">
        <v>0.05494</v>
      </c>
      <c r="K72" s="26" t="inlineStr">
        <is>
          <t>WO</t>
        </is>
      </c>
      <c r="L72" s="1737" t="n"/>
      <c r="M72" s="1737" t="n"/>
      <c r="N72" s="1737" t="n"/>
      <c r="O72" s="1737" t="n"/>
      <c r="P72" s="1737" t="n"/>
      <c r="Q72" s="1737" t="n"/>
      <c r="R72" s="1737" t="n">
        <v>0</v>
      </c>
      <c r="S72" s="1737" t="n">
        <v>0</v>
      </c>
      <c r="T72" s="1737" t="n"/>
      <c r="U72" s="1737" t="n"/>
      <c r="V72" s="28" t="n"/>
      <c r="W72" s="28" t="n"/>
      <c r="X72" s="28" t="n"/>
      <c r="Y72" s="28" t="n">
        <v>2063</v>
      </c>
      <c r="Z72" s="28" t="n">
        <v>2364</v>
      </c>
      <c r="AA72" s="28" t="n"/>
      <c r="AB72" s="28" t="n"/>
      <c r="AC72" s="28" t="n"/>
      <c r="AD72" s="28" t="n"/>
      <c r="AE72" s="29">
        <f>SUM(L72:AD72)</f>
        <v/>
      </c>
      <c r="AF72" s="30">
        <f>J72*AE72</f>
        <v/>
      </c>
      <c r="AG72" s="190" t="n"/>
      <c r="AH72" s="1745" t="n"/>
      <c r="AI72" s="1745" t="n"/>
      <c r="AJ72" s="1745" t="n"/>
      <c r="AK72" s="1576" t="n">
        <v>1263</v>
      </c>
    </row>
    <row r="73" ht="30" customHeight="1">
      <c r="A73" s="1738" t="n"/>
      <c r="B73" s="113" t="inlineStr">
        <is>
          <t>IP03</t>
        </is>
      </c>
      <c r="C73" s="19" t="inlineStr">
        <is>
          <t>FGA31</t>
        </is>
      </c>
      <c r="D73" s="20" t="inlineStr">
        <is>
          <t>W AIR MAX DAWN</t>
        </is>
      </c>
      <c r="E73" s="19" t="inlineStr">
        <is>
          <t>DQ5016-100</t>
        </is>
      </c>
      <c r="F73" s="21" t="inlineStr">
        <is>
          <t>BLACK</t>
        </is>
      </c>
      <c r="G73" s="22" t="inlineStr">
        <is>
          <t>NO</t>
        </is>
      </c>
      <c r="H73" s="23" t="inlineStr">
        <is>
          <t>NO</t>
        </is>
      </c>
      <c r="I73" s="24" t="inlineStr">
        <is>
          <t>OEF 006</t>
        </is>
      </c>
      <c r="J73" s="1736" t="n">
        <v>0.0395</v>
      </c>
      <c r="K73" s="26" t="inlineStr">
        <is>
          <t>WO</t>
        </is>
      </c>
      <c r="L73" s="1737" t="n"/>
      <c r="M73" s="1737" t="n"/>
      <c r="N73" s="1737" t="n"/>
      <c r="O73" s="1737" t="n"/>
      <c r="P73" s="1737" t="n"/>
      <c r="Q73" s="1737" t="n"/>
      <c r="R73" s="1737" t="n">
        <v>0</v>
      </c>
      <c r="S73" s="1737" t="n">
        <v>0</v>
      </c>
      <c r="T73" s="1737" t="n"/>
      <c r="U73" s="1737" t="n"/>
      <c r="V73" s="28" t="n"/>
      <c r="W73" s="28" t="n"/>
      <c r="X73" s="28" t="n"/>
      <c r="Y73" s="28" t="n">
        <v>2063</v>
      </c>
      <c r="Z73" s="28" t="n">
        <v>2364</v>
      </c>
      <c r="AA73" s="28" t="n"/>
      <c r="AB73" s="28" t="n"/>
      <c r="AC73" s="28" t="n"/>
      <c r="AD73" s="28" t="n"/>
      <c r="AE73" s="29">
        <f>SUM(L73:AD73)</f>
        <v/>
      </c>
      <c r="AF73" s="30">
        <f>J73*AE73</f>
        <v/>
      </c>
      <c r="AG73" s="190" t="n"/>
      <c r="AH73" s="1745" t="n"/>
      <c r="AI73" s="1745" t="n"/>
      <c r="AJ73" s="1745" t="n"/>
      <c r="AK73" s="1757" t="n"/>
    </row>
    <row r="74" ht="30" customHeight="1">
      <c r="A74" s="1738" t="n"/>
      <c r="B74" s="122" t="inlineStr">
        <is>
          <t>IP02</t>
        </is>
      </c>
      <c r="C74" s="49" t="inlineStr">
        <is>
          <t>FGA31</t>
        </is>
      </c>
      <c r="D74" s="50" t="inlineStr">
        <is>
          <t>WMNS AIR MAX DAWN</t>
        </is>
      </c>
      <c r="E74" s="49" t="inlineStr">
        <is>
          <t>FN3445-141</t>
        </is>
      </c>
      <c r="F74" s="51" t="inlineStr">
        <is>
          <t>CACAO WOW</t>
        </is>
      </c>
      <c r="G74" s="52" t="inlineStr">
        <is>
          <t>NO</t>
        </is>
      </c>
      <c r="H74" s="53" t="inlineStr">
        <is>
          <t>NO</t>
        </is>
      </c>
      <c r="I74" s="54" t="inlineStr">
        <is>
          <t>OEF 006</t>
        </is>
      </c>
      <c r="J74" s="1742" t="n">
        <v>0.05494</v>
      </c>
      <c r="K74" s="56" t="inlineStr">
        <is>
          <t>WO</t>
        </is>
      </c>
      <c r="L74" s="1743" t="n"/>
      <c r="M74" s="1743" t="n"/>
      <c r="N74" s="1743" t="n"/>
      <c r="O74" s="1743" t="n"/>
      <c r="P74" s="1743" t="n"/>
      <c r="Q74" s="1743" t="n"/>
      <c r="R74" s="1743" t="n"/>
      <c r="S74" s="1743" t="n">
        <v>696</v>
      </c>
      <c r="T74" s="1765" t="n">
        <v>2008</v>
      </c>
      <c r="U74" s="1765" t="n">
        <v>2244</v>
      </c>
      <c r="V74" s="232" t="n">
        <v>1486</v>
      </c>
      <c r="W74" s="58" t="n"/>
      <c r="X74" s="58" t="n"/>
      <c r="Y74" s="58" t="n"/>
      <c r="Z74" s="58" t="n"/>
      <c r="AA74" s="58" t="n"/>
      <c r="AB74" s="58" t="n"/>
      <c r="AC74" s="58" t="n"/>
      <c r="AD74" s="58" t="n"/>
      <c r="AE74" s="46">
        <f>SUM(L74:AD74)</f>
        <v/>
      </c>
      <c r="AF74" s="47">
        <f>J74*AE74</f>
        <v/>
      </c>
      <c r="AG74" s="1766" t="inlineStr">
        <is>
          <t>pending assy date 04/21~04/23</t>
        </is>
      </c>
      <c r="AH74" s="1745" t="n"/>
      <c r="AI74" s="1745" t="n"/>
      <c r="AJ74" s="1745" t="n"/>
      <c r="AK74" s="73" t="n">
        <v>2165</v>
      </c>
    </row>
    <row r="75" ht="30" customHeight="1" thickBot="1">
      <c r="A75" s="1738" t="n"/>
      <c r="B75" s="123" t="inlineStr">
        <is>
          <t>IP03</t>
        </is>
      </c>
      <c r="C75" s="61" t="inlineStr">
        <is>
          <t>FGA31</t>
        </is>
      </c>
      <c r="D75" s="62" t="inlineStr">
        <is>
          <t>WMNS AIR MAX DAWN</t>
        </is>
      </c>
      <c r="E75" s="61" t="inlineStr">
        <is>
          <t>FN3445-141</t>
        </is>
      </c>
      <c r="F75" s="63" t="inlineStr">
        <is>
          <t>CACAO WOW</t>
        </is>
      </c>
      <c r="G75" s="64" t="inlineStr">
        <is>
          <t>NO</t>
        </is>
      </c>
      <c r="H75" s="65" t="inlineStr">
        <is>
          <t>NO</t>
        </is>
      </c>
      <c r="I75" s="66" t="inlineStr">
        <is>
          <t>OEF 006</t>
        </is>
      </c>
      <c r="J75" s="1739" t="n">
        <v>0.0395</v>
      </c>
      <c r="K75" s="68" t="inlineStr">
        <is>
          <t>WO</t>
        </is>
      </c>
      <c r="L75" s="1740" t="n"/>
      <c r="M75" s="1740" t="n"/>
      <c r="N75" s="1740" t="n"/>
      <c r="O75" s="1740" t="n"/>
      <c r="P75" s="1740" t="n"/>
      <c r="Q75" s="1740" t="n"/>
      <c r="R75" s="1740" t="n"/>
      <c r="S75" s="1740" t="n">
        <v>696</v>
      </c>
      <c r="T75" s="1767" t="n">
        <v>2008</v>
      </c>
      <c r="U75" s="1767" t="n">
        <v>2244</v>
      </c>
      <c r="V75" s="234" t="n">
        <v>1486</v>
      </c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1">
        <f>SUM(L75:AD75)</f>
        <v/>
      </c>
      <c r="AF75" s="72">
        <f>J75*AE75</f>
        <v/>
      </c>
      <c r="AG75" s="1741" t="n"/>
      <c r="AH75" s="1741" t="n"/>
      <c r="AI75" s="1741" t="n"/>
      <c r="AJ75" s="1741" t="n"/>
      <c r="AK75" s="1741" t="n"/>
    </row>
    <row r="76" ht="30" customHeight="1">
      <c r="A76" s="1738" t="n"/>
      <c r="B76" s="109" t="inlineStr">
        <is>
          <t>II91</t>
        </is>
      </c>
      <c r="C76" s="49" t="inlineStr">
        <is>
          <t>FGA32</t>
        </is>
      </c>
      <c r="D76" s="50" t="inlineStr">
        <is>
          <t>NIKE AVA X (GS)</t>
        </is>
      </c>
      <c r="E76" s="49" t="inlineStr">
        <is>
          <t>IM5371-002</t>
        </is>
      </c>
      <c r="F76" s="51" t="inlineStr">
        <is>
          <t>BLACK</t>
        </is>
      </c>
      <c r="G76" s="52" t="inlineStr">
        <is>
          <t>NO</t>
        </is>
      </c>
      <c r="H76" s="53" t="inlineStr">
        <is>
          <t>SMOKE GREY</t>
        </is>
      </c>
      <c r="I76" s="110" t="inlineStr">
        <is>
          <t>CMP 014</t>
        </is>
      </c>
      <c r="J76" s="1742" t="n"/>
      <c r="K76" s="56" t="inlineStr">
        <is>
          <t>GS</t>
        </is>
      </c>
      <c r="L76" s="1743" t="n"/>
      <c r="M76" s="1743" t="n"/>
      <c r="N76" s="1743" t="n">
        <v>0</v>
      </c>
      <c r="O76" s="1743" t="n">
        <v>0</v>
      </c>
      <c r="P76" s="1743" t="n">
        <v>0</v>
      </c>
      <c r="Q76" s="1743" t="n">
        <v>0</v>
      </c>
      <c r="R76" s="1743" t="n">
        <v>0</v>
      </c>
      <c r="S76" s="1743" t="n">
        <v>0</v>
      </c>
      <c r="T76" s="1743" t="n"/>
      <c r="U76" s="1743" t="n">
        <v>7</v>
      </c>
      <c r="V76" s="58" t="n">
        <v>648</v>
      </c>
      <c r="W76" s="58" t="n">
        <v>634</v>
      </c>
      <c r="X76" s="58" t="n"/>
      <c r="Y76" s="58" t="n"/>
      <c r="Z76" s="58" t="n"/>
      <c r="AA76" s="58" t="n"/>
      <c r="AB76" s="58" t="n"/>
      <c r="AC76" s="58" t="n"/>
      <c r="AD76" s="58" t="n"/>
      <c r="AE76" s="46">
        <f>SUM(L76:AD76)</f>
        <v/>
      </c>
      <c r="AF76" s="47">
        <f>J76*AE76</f>
        <v/>
      </c>
      <c r="AG76" s="192" t="n"/>
      <c r="AH76" s="1573" t="n">
        <v>595</v>
      </c>
      <c r="AI76" s="1573" t="n"/>
      <c r="AJ76" s="1573">
        <f>SUM(AK76:AK80)</f>
        <v/>
      </c>
      <c r="AK76" s="1576" t="n">
        <v>725</v>
      </c>
    </row>
    <row r="77" ht="30" customHeight="1">
      <c r="A77" s="1738" t="n"/>
      <c r="B77" s="109" t="inlineStr">
        <is>
          <t>II91</t>
        </is>
      </c>
      <c r="C77" s="49" t="inlineStr">
        <is>
          <t>FGA32</t>
        </is>
      </c>
      <c r="D77" s="50" t="inlineStr">
        <is>
          <t>NIKE AVA X (GS)</t>
        </is>
      </c>
      <c r="E77" s="49" t="inlineStr">
        <is>
          <t>IM5371-003</t>
        </is>
      </c>
      <c r="F77" s="51" t="inlineStr">
        <is>
          <t>BLACK</t>
        </is>
      </c>
      <c r="G77" s="52" t="inlineStr">
        <is>
          <t>NO</t>
        </is>
      </c>
      <c r="H77" s="53" t="inlineStr">
        <is>
          <t>BLUE CRYSTAL</t>
        </is>
      </c>
      <c r="I77" s="110" t="inlineStr">
        <is>
          <t>CMP 014</t>
        </is>
      </c>
      <c r="J77" s="1742" t="n"/>
      <c r="K77" s="56" t="inlineStr">
        <is>
          <t>GS</t>
        </is>
      </c>
      <c r="L77" s="1743" t="n"/>
      <c r="M77" s="1743" t="n"/>
      <c r="N77" s="1743" t="n"/>
      <c r="O77" s="1743" t="n"/>
      <c r="P77" s="1743" t="n"/>
      <c r="Q77" s="1743" t="n"/>
      <c r="R77" s="1743" t="n"/>
      <c r="S77" s="1743" t="n">
        <v>0</v>
      </c>
      <c r="T77" s="1743" t="n">
        <v>66</v>
      </c>
      <c r="U77" s="1743" t="n">
        <v>52</v>
      </c>
      <c r="V77" s="58" t="n"/>
      <c r="W77" s="58" t="n"/>
      <c r="X77" s="58" t="n"/>
      <c r="Y77" s="58" t="n"/>
      <c r="Z77" s="58" t="n"/>
      <c r="AA77" s="58" t="n"/>
      <c r="AB77" s="58" t="n"/>
      <c r="AC77" s="58" t="n"/>
      <c r="AD77" s="58" t="n"/>
      <c r="AE77" s="46">
        <f>SUM(L77:AD77)</f>
        <v/>
      </c>
      <c r="AF77" s="47">
        <f>J77*AE77</f>
        <v/>
      </c>
      <c r="AG77" s="199" t="inlineStr">
        <is>
          <t>FINISH ORDER CHANGE STYLE</t>
        </is>
      </c>
      <c r="AH77" s="1745" t="n"/>
      <c r="AI77" s="1745" t="n"/>
      <c r="AJ77" s="1745" t="n"/>
      <c r="AK77" s="1576" t="n">
        <v>48</v>
      </c>
    </row>
    <row r="78" ht="30" customHeight="1">
      <c r="A78" s="1738" t="n"/>
      <c r="B78" s="109" t="inlineStr">
        <is>
          <t>II91</t>
        </is>
      </c>
      <c r="C78" s="49" t="inlineStr">
        <is>
          <t>FGA32</t>
        </is>
      </c>
      <c r="D78" s="50" t="inlineStr">
        <is>
          <t>NIKE AVA X (GS)</t>
        </is>
      </c>
      <c r="E78" s="19" t="inlineStr">
        <is>
          <t>IM5371-004</t>
        </is>
      </c>
      <c r="F78" s="21" t="inlineStr">
        <is>
          <t>BLACK</t>
        </is>
      </c>
      <c r="G78" s="22" t="inlineStr">
        <is>
          <t>NO</t>
        </is>
      </c>
      <c r="H78" s="23" t="inlineStr">
        <is>
          <t>GREEN STRIKE</t>
        </is>
      </c>
      <c r="I78" s="110" t="inlineStr">
        <is>
          <t>CMP 014</t>
        </is>
      </c>
      <c r="J78" s="1742" t="n"/>
      <c r="K78" s="56" t="inlineStr">
        <is>
          <t>GS</t>
        </is>
      </c>
      <c r="L78" s="1737" t="n"/>
      <c r="M78" s="1737" t="n"/>
      <c r="N78" s="1737" t="n"/>
      <c r="O78" s="1737" t="n"/>
      <c r="P78" s="1737" t="n"/>
      <c r="Q78" s="1737" t="n"/>
      <c r="R78" s="1737" t="n"/>
      <c r="S78" s="1737" t="n"/>
      <c r="T78" s="1737" t="n"/>
      <c r="U78" s="1737" t="n"/>
      <c r="V78" s="28" t="n"/>
      <c r="W78" s="28" t="n">
        <v>466</v>
      </c>
      <c r="X78" s="28" t="n">
        <v>792</v>
      </c>
      <c r="Y78" s="28" t="n"/>
      <c r="Z78" s="28" t="n">
        <v>147</v>
      </c>
      <c r="AA78" s="28" t="n"/>
      <c r="AB78" s="28" t="n"/>
      <c r="AC78" s="28" t="n"/>
      <c r="AD78" s="28" t="n"/>
      <c r="AE78" s="46">
        <f>SUM(L78:AD78)</f>
        <v/>
      </c>
      <c r="AF78" s="47">
        <f>J78*AE78</f>
        <v/>
      </c>
      <c r="AG78" s="235" t="n"/>
      <c r="AH78" s="1745" t="n"/>
      <c r="AI78" s="1745" t="n"/>
      <c r="AJ78" s="1745" t="n"/>
      <c r="AK78" s="1569" t="n">
        <v>0</v>
      </c>
    </row>
    <row r="79" ht="30" customHeight="1">
      <c r="A79" s="1738" t="n"/>
      <c r="B79" s="109" t="inlineStr">
        <is>
          <t>II91</t>
        </is>
      </c>
      <c r="C79" s="49" t="inlineStr">
        <is>
          <t>FGA32</t>
        </is>
      </c>
      <c r="D79" s="50" t="inlineStr">
        <is>
          <t>NIKE AVA X (GS)</t>
        </is>
      </c>
      <c r="E79" s="19" t="inlineStr">
        <is>
          <t>IM5371-101</t>
        </is>
      </c>
      <c r="F79" s="21" t="inlineStr">
        <is>
          <t>SUMMIT WHITE</t>
        </is>
      </c>
      <c r="G79" s="22" t="inlineStr">
        <is>
          <t>BLACK</t>
        </is>
      </c>
      <c r="H79" s="23" t="inlineStr">
        <is>
          <t>BLACK</t>
        </is>
      </c>
      <c r="I79" s="110" t="inlineStr">
        <is>
          <t>CMP 014</t>
        </is>
      </c>
      <c r="J79" s="1742" t="n"/>
      <c r="K79" s="56" t="inlineStr">
        <is>
          <t>GS</t>
        </is>
      </c>
      <c r="L79" s="1737" t="n"/>
      <c r="M79" s="1737" t="n"/>
      <c r="N79" s="1737" t="n"/>
      <c r="O79" s="1737" t="n"/>
      <c r="P79" s="1737" t="n"/>
      <c r="Q79" s="1737" t="n"/>
      <c r="R79" s="1737" t="n"/>
      <c r="S79" s="1737" t="n"/>
      <c r="T79" s="1737" t="n"/>
      <c r="U79" s="1737" t="n"/>
      <c r="V79" s="28" t="n"/>
      <c r="W79" s="28" t="n"/>
      <c r="X79" s="28" t="n"/>
      <c r="Y79" s="28" t="n"/>
      <c r="Z79" s="28" t="n">
        <v>953</v>
      </c>
      <c r="AA79" s="28" t="n"/>
      <c r="AB79" s="28" t="n"/>
      <c r="AC79" s="28" t="n"/>
      <c r="AD79" s="28" t="n"/>
      <c r="AE79" s="46">
        <f>SUM(L79:AD79)</f>
        <v/>
      </c>
      <c r="AF79" s="47">
        <f>J79*AE79</f>
        <v/>
      </c>
      <c r="AG79" s="235" t="n"/>
      <c r="AH79" s="1745" t="n"/>
      <c r="AI79" s="1745" t="n"/>
      <c r="AJ79" s="1745" t="n"/>
      <c r="AK79" s="1569" t="n">
        <v>0</v>
      </c>
    </row>
    <row r="80" ht="30" customHeight="1" thickBot="1">
      <c r="A80" s="1738" t="n"/>
      <c r="B80" s="202" t="inlineStr">
        <is>
          <t>II91</t>
        </is>
      </c>
      <c r="C80" s="61" t="inlineStr">
        <is>
          <t>FGA32</t>
        </is>
      </c>
      <c r="D80" s="62" t="inlineStr">
        <is>
          <t>NIKE AVA X (PS)</t>
        </is>
      </c>
      <c r="E80" s="61" t="inlineStr">
        <is>
          <t>IM5372-800</t>
        </is>
      </c>
      <c r="F80" s="63" t="inlineStr">
        <is>
          <t>TURF ORANGE</t>
        </is>
      </c>
      <c r="G80" s="64" t="inlineStr">
        <is>
          <t>OFF NOIR</t>
        </is>
      </c>
      <c r="H80" s="65" t="inlineStr">
        <is>
          <t>TANGERINE TINT</t>
        </is>
      </c>
      <c r="I80" s="204" t="inlineStr">
        <is>
          <t>CMP 014</t>
        </is>
      </c>
      <c r="J80" s="1739" t="n"/>
      <c r="K80" s="68" t="inlineStr">
        <is>
          <t>PS</t>
        </is>
      </c>
      <c r="L80" s="1740" t="n"/>
      <c r="M80" s="1740" t="n"/>
      <c r="N80" s="1740" t="n"/>
      <c r="O80" s="1740" t="n"/>
      <c r="P80" s="1740" t="n"/>
      <c r="Q80" s="1740" t="n"/>
      <c r="R80" s="1740" t="n"/>
      <c r="S80" s="1740" t="n">
        <v>0</v>
      </c>
      <c r="T80" s="1740" t="n">
        <v>0</v>
      </c>
      <c r="U80" s="1740" t="n">
        <v>0</v>
      </c>
      <c r="V80" s="70" t="n">
        <v>0</v>
      </c>
      <c r="W80" s="70" t="n">
        <v>0</v>
      </c>
      <c r="X80" s="70" t="n">
        <v>29</v>
      </c>
      <c r="Y80" s="70" t="n"/>
      <c r="Z80" s="70" t="n">
        <v>300</v>
      </c>
      <c r="AA80" s="70" t="n"/>
      <c r="AB80" s="70" t="n"/>
      <c r="AC80" s="70" t="n"/>
      <c r="AD80" s="70" t="n"/>
      <c r="AE80" s="71">
        <f>SUM(L80:AD80)</f>
        <v/>
      </c>
      <c r="AF80" s="72">
        <f>J80*AE80</f>
        <v/>
      </c>
      <c r="AG80" s="205" t="n"/>
      <c r="AH80" s="1741" t="n"/>
      <c r="AI80" s="1741" t="n"/>
      <c r="AJ80" s="1741" t="n"/>
      <c r="AK80" s="73" t="n">
        <v>0</v>
      </c>
    </row>
    <row r="81" ht="30" customHeight="1">
      <c r="A81" s="1738" t="n"/>
      <c r="B81" s="109" t="inlineStr">
        <is>
          <t>II91</t>
        </is>
      </c>
      <c r="C81" s="51" t="inlineStr">
        <is>
          <t>FGA33</t>
        </is>
      </c>
      <c r="D81" s="136" t="inlineStr">
        <is>
          <t>NIKE AVA X</t>
        </is>
      </c>
      <c r="E81" s="89" t="inlineStr">
        <is>
          <t>HM9697-014</t>
        </is>
      </c>
      <c r="F81" s="89" t="inlineStr">
        <is>
          <t>PINK FOAM</t>
        </is>
      </c>
      <c r="G81" s="119" t="inlineStr">
        <is>
          <t>SUMMIT WHITE</t>
        </is>
      </c>
      <c r="H81" s="119" t="inlineStr">
        <is>
          <t>TEAM CRIMSON</t>
        </is>
      </c>
      <c r="I81" s="110" t="inlineStr">
        <is>
          <t>CMP 014</t>
        </is>
      </c>
      <c r="J81" s="1742" t="n">
        <v>0.19648</v>
      </c>
      <c r="K81" s="137" t="inlineStr">
        <is>
          <t>ME</t>
        </is>
      </c>
      <c r="L81" s="1768" t="n"/>
      <c r="M81" s="1768" t="n"/>
      <c r="N81" s="1768" t="n"/>
      <c r="O81" s="1768" t="n"/>
      <c r="P81" s="1768" t="n"/>
      <c r="Q81" s="1768" t="n"/>
      <c r="R81" s="1768" t="n"/>
      <c r="S81" s="1768" t="n"/>
      <c r="T81" s="1769" t="n">
        <v>38</v>
      </c>
      <c r="U81" s="1768" t="n"/>
      <c r="V81" s="94" t="n"/>
      <c r="W81" s="94" t="n"/>
      <c r="X81" s="94" t="n"/>
      <c r="Y81" s="94" t="n"/>
      <c r="Z81" s="94" t="n"/>
      <c r="AA81" s="94" t="n"/>
      <c r="AB81" s="94" t="n"/>
      <c r="AC81" s="94" t="n"/>
      <c r="AD81" s="94" t="n"/>
      <c r="AE81" s="120">
        <f>SUM(L81:AD81)</f>
        <v/>
      </c>
      <c r="AF81" s="121">
        <f>J81*AE81</f>
        <v/>
      </c>
      <c r="AG81" s="211" t="inlineStr">
        <is>
          <t>ZPS</t>
        </is>
      </c>
      <c r="AH81" s="1744" t="n">
        <v>1626</v>
      </c>
      <c r="AI81" s="1744" t="n"/>
      <c r="AJ81" s="1744">
        <f>SUM(AK81:AK85)</f>
        <v/>
      </c>
      <c r="AK81" s="121" t="n">
        <v>0</v>
      </c>
    </row>
    <row r="82" ht="30" customHeight="1">
      <c r="A82" s="1738" t="n"/>
      <c r="B82" s="138" t="inlineStr">
        <is>
          <t>II91</t>
        </is>
      </c>
      <c r="C82" s="89" t="inlineStr">
        <is>
          <t>FGA33</t>
        </is>
      </c>
      <c r="D82" s="139" t="inlineStr">
        <is>
          <t>NIKE AVA X</t>
        </is>
      </c>
      <c r="E82" s="89" t="inlineStr">
        <is>
          <t>HM9697-402</t>
        </is>
      </c>
      <c r="F82" s="89" t="inlineStr">
        <is>
          <t>DIFFUSED BLUE</t>
        </is>
      </c>
      <c r="G82" s="119" t="inlineStr">
        <is>
          <t>NO</t>
        </is>
      </c>
      <c r="H82" s="119" t="inlineStr">
        <is>
          <t>BLACK</t>
        </is>
      </c>
      <c r="I82" s="140" t="inlineStr">
        <is>
          <t>CMP 014</t>
        </is>
      </c>
      <c r="J82" s="1770" t="n">
        <v>0.19648</v>
      </c>
      <c r="K82" s="141" t="inlineStr">
        <is>
          <t>ME</t>
        </is>
      </c>
      <c r="L82" s="1768" t="n"/>
      <c r="M82" s="1768" t="n"/>
      <c r="N82" s="1768" t="n"/>
      <c r="O82" s="1768" t="n"/>
      <c r="P82" s="1768" t="n">
        <v>30</v>
      </c>
      <c r="Q82" s="1768" t="n"/>
      <c r="R82" s="1768" t="n"/>
      <c r="S82" s="1768" t="n">
        <v>80</v>
      </c>
      <c r="T82" s="1768" t="n"/>
      <c r="U82" s="1768" t="n"/>
      <c r="V82" s="94" t="n"/>
      <c r="W82" s="94" t="n"/>
      <c r="X82" s="94" t="n"/>
      <c r="Y82" s="94" t="n"/>
      <c r="Z82" s="94" t="n"/>
      <c r="AA82" s="94" t="n"/>
      <c r="AB82" s="94" t="n"/>
      <c r="AC82" s="94" t="n"/>
      <c r="AD82" s="94" t="n"/>
      <c r="AE82" s="120">
        <f>SUM(L82:AD82)</f>
        <v/>
      </c>
      <c r="AF82" s="142">
        <f>J82*AE82</f>
        <v/>
      </c>
      <c r="AG82" s="200" t="inlineStr">
        <is>
          <t>FINISH ORDER CHANGE STYLE</t>
        </is>
      </c>
      <c r="AH82" s="1745" t="n"/>
      <c r="AI82" s="1745" t="n"/>
      <c r="AJ82" s="1745" t="n"/>
      <c r="AK82" s="121" t="n">
        <v>168</v>
      </c>
    </row>
    <row r="83" ht="30" customHeight="1">
      <c r="A83" s="1738" t="n"/>
      <c r="B83" s="138" t="inlineStr">
        <is>
          <t>II91</t>
        </is>
      </c>
      <c r="C83" s="89" t="inlineStr">
        <is>
          <t>FGA33</t>
        </is>
      </c>
      <c r="D83" s="139" t="inlineStr">
        <is>
          <t>NIKE AVA X</t>
        </is>
      </c>
      <c r="E83" s="89" t="inlineStr">
        <is>
          <t>IQ7633-002</t>
        </is>
      </c>
      <c r="F83" s="89" t="inlineStr">
        <is>
          <t>ANTHRACITE</t>
        </is>
      </c>
      <c r="G83" s="119" t="inlineStr">
        <is>
          <t>NO</t>
        </is>
      </c>
      <c r="H83" s="119" t="inlineStr">
        <is>
          <t>BLACK</t>
        </is>
      </c>
      <c r="I83" s="140" t="inlineStr">
        <is>
          <t>CMP 014</t>
        </is>
      </c>
      <c r="J83" s="1770" t="n">
        <v>0.19648</v>
      </c>
      <c r="K83" s="141" t="inlineStr">
        <is>
          <t>ME</t>
        </is>
      </c>
      <c r="L83" s="1768" t="n"/>
      <c r="M83" s="1768" t="n"/>
      <c r="N83" s="1768" t="n"/>
      <c r="O83" s="1768" t="n"/>
      <c r="P83" s="1768" t="n"/>
      <c r="Q83" s="1768" t="n"/>
      <c r="R83" s="1768" t="n"/>
      <c r="S83" s="1768" t="n">
        <v>624</v>
      </c>
      <c r="T83" s="1768" t="n">
        <v>2170</v>
      </c>
      <c r="U83" s="1768" t="n"/>
      <c r="V83" s="94" t="n">
        <v>401</v>
      </c>
      <c r="W83" s="94" t="n"/>
      <c r="X83" s="94" t="n"/>
      <c r="Y83" s="94" t="n"/>
      <c r="Z83" s="94" t="n"/>
      <c r="AA83" s="94" t="n"/>
      <c r="AB83" s="94" t="n"/>
      <c r="AC83" s="94" t="n"/>
      <c r="AD83" s="94" t="n"/>
      <c r="AE83" s="120">
        <f>SUM(L83:AD83)</f>
        <v/>
      </c>
      <c r="AF83" s="142">
        <f>J83*AE83</f>
        <v/>
      </c>
      <c r="AG83" s="200" t="n"/>
      <c r="AH83" s="1745" t="n"/>
      <c r="AI83" s="1745" t="n"/>
      <c r="AJ83" s="1745" t="n"/>
      <c r="AK83" s="121" t="n">
        <v>62</v>
      </c>
    </row>
    <row r="84" ht="30" customHeight="1">
      <c r="A84" s="1738" t="n"/>
      <c r="B84" s="109" t="inlineStr">
        <is>
          <t>II91</t>
        </is>
      </c>
      <c r="C84" s="51" t="inlineStr">
        <is>
          <t>FGA33</t>
        </is>
      </c>
      <c r="D84" s="136" t="inlineStr">
        <is>
          <t>NIKE AVA X</t>
        </is>
      </c>
      <c r="E84" s="89" t="inlineStr">
        <is>
          <t>IQ7633-003</t>
        </is>
      </c>
      <c r="F84" s="89" t="inlineStr">
        <is>
          <t>COLLEGE GREY</t>
        </is>
      </c>
      <c r="G84" s="119" t="inlineStr">
        <is>
          <t>NO</t>
        </is>
      </c>
      <c r="H84" s="119" t="inlineStr">
        <is>
          <t>WHITE</t>
        </is>
      </c>
      <c r="I84" s="140" t="inlineStr">
        <is>
          <t>CMP 014</t>
        </is>
      </c>
      <c r="J84" s="1770" t="n">
        <v>0.19648</v>
      </c>
      <c r="K84" s="141" t="inlineStr">
        <is>
          <t>ME</t>
        </is>
      </c>
      <c r="L84" s="1768" t="n"/>
      <c r="M84" s="1768" t="n"/>
      <c r="N84" s="1768" t="n"/>
      <c r="O84" s="1768" t="n"/>
      <c r="P84" s="1768" t="n"/>
      <c r="Q84" s="1768" t="n"/>
      <c r="R84" s="1768" t="n"/>
      <c r="S84" s="1768" t="n"/>
      <c r="T84" s="1768" t="n"/>
      <c r="U84" s="1768" t="n"/>
      <c r="V84" s="94" t="n">
        <v>1776</v>
      </c>
      <c r="W84" s="94" t="n">
        <v>2273</v>
      </c>
      <c r="X84" s="94" t="n">
        <v>203</v>
      </c>
      <c r="Y84" s="94" t="n"/>
      <c r="Z84" s="94" t="n">
        <v>809</v>
      </c>
      <c r="AA84" s="94" t="n"/>
      <c r="AB84" s="94" t="n"/>
      <c r="AC84" s="94" t="n"/>
      <c r="AD84" s="94" t="n"/>
      <c r="AE84" s="120">
        <f>SUM(L84:AD84)</f>
        <v/>
      </c>
      <c r="AF84" s="142">
        <f>J84*AE84</f>
        <v/>
      </c>
      <c r="AG84" s="200" t="n"/>
      <c r="AH84" s="1745" t="n"/>
      <c r="AI84" s="1745" t="n"/>
      <c r="AJ84" s="1745" t="n"/>
      <c r="AK84" s="121" t="n">
        <v>0</v>
      </c>
    </row>
    <row r="85" ht="30" customHeight="1" thickBot="1">
      <c r="A85" s="1738" t="n"/>
      <c r="B85" s="138" t="inlineStr">
        <is>
          <t>II91</t>
        </is>
      </c>
      <c r="C85" s="89" t="inlineStr">
        <is>
          <t>FGA33</t>
        </is>
      </c>
      <c r="D85" s="139" t="inlineStr">
        <is>
          <t>NIKE AVA X</t>
        </is>
      </c>
      <c r="E85" s="89" t="inlineStr">
        <is>
          <t>IQ7633-700</t>
        </is>
      </c>
      <c r="F85" s="89" t="inlineStr">
        <is>
          <t>ALABASTER</t>
        </is>
      </c>
      <c r="G85" s="119" t="inlineStr">
        <is>
          <t>NO</t>
        </is>
      </c>
      <c r="H85" s="119" t="inlineStr">
        <is>
          <t>BLACK</t>
        </is>
      </c>
      <c r="I85" s="140" t="inlineStr">
        <is>
          <t>CMP 014</t>
        </is>
      </c>
      <c r="J85" s="1770" t="n">
        <v>0.19648</v>
      </c>
      <c r="K85" s="141" t="inlineStr">
        <is>
          <t>ME</t>
        </is>
      </c>
      <c r="L85" s="1768" t="n"/>
      <c r="M85" s="1768" t="n"/>
      <c r="N85" s="1768" t="n"/>
      <c r="O85" s="1768" t="n"/>
      <c r="P85" s="1768" t="n"/>
      <c r="Q85" s="1768" t="n"/>
      <c r="R85" s="1768" t="n"/>
      <c r="S85" s="1768" t="n"/>
      <c r="T85" s="1768" t="n"/>
      <c r="U85" s="1768" t="n"/>
      <c r="V85" s="94" t="n"/>
      <c r="W85" s="94" t="n"/>
      <c r="X85" s="94" t="n">
        <v>1477</v>
      </c>
      <c r="Y85" s="94" t="n"/>
      <c r="Z85" s="94" t="n">
        <v>1555</v>
      </c>
      <c r="AA85" s="94" t="n"/>
      <c r="AB85" s="94" t="n"/>
      <c r="AC85" s="94" t="n"/>
      <c r="AD85" s="94" t="n"/>
      <c r="AE85" s="120">
        <f>SUM(L85:AD85)</f>
        <v/>
      </c>
      <c r="AF85" s="237">
        <f>J85*AE85</f>
        <v/>
      </c>
      <c r="AG85" s="236" t="n"/>
      <c r="AH85" s="1741" t="n"/>
      <c r="AI85" s="1741" t="n"/>
      <c r="AJ85" s="1741" t="n"/>
      <c r="AK85" s="121" t="n">
        <v>0</v>
      </c>
    </row>
    <row r="86" ht="30" customHeight="1">
      <c r="A86" s="1738" t="n"/>
      <c r="B86" s="132" t="inlineStr">
        <is>
          <t>II91</t>
        </is>
      </c>
      <c r="C86" s="35" t="inlineStr">
        <is>
          <t>FGA34</t>
        </is>
      </c>
      <c r="D86" s="133" t="inlineStr">
        <is>
          <t>NIKE AVA X</t>
        </is>
      </c>
      <c r="E86" s="35" t="inlineStr">
        <is>
          <t>IQ7633-001</t>
        </is>
      </c>
      <c r="F86" s="35" t="inlineStr">
        <is>
          <t>BLACK</t>
        </is>
      </c>
      <c r="G86" s="36" t="inlineStr">
        <is>
          <t>NO</t>
        </is>
      </c>
      <c r="H86" s="36" t="inlineStr">
        <is>
          <t>DARK GREY</t>
        </is>
      </c>
      <c r="I86" s="134" t="inlineStr">
        <is>
          <t>CMP 014</t>
        </is>
      </c>
      <c r="J86" s="1746" t="n">
        <v>0.19648</v>
      </c>
      <c r="K86" s="135" t="inlineStr">
        <is>
          <t>ME</t>
        </is>
      </c>
      <c r="L86" s="1747" t="n"/>
      <c r="M86" s="1747" t="n">
        <v>0</v>
      </c>
      <c r="N86" s="1747" t="n"/>
      <c r="O86" s="1747" t="n">
        <v>0</v>
      </c>
      <c r="P86" s="1747" t="n"/>
      <c r="Q86" s="1747" t="n"/>
      <c r="R86" s="1747" t="n"/>
      <c r="S86" s="1747" t="n"/>
      <c r="T86" s="1747" t="n"/>
      <c r="U86" s="1747" t="n"/>
      <c r="V86" s="42" t="n">
        <v>3</v>
      </c>
      <c r="W86" s="42" t="n">
        <v>1570</v>
      </c>
      <c r="X86" s="42" t="n">
        <v>1680</v>
      </c>
      <c r="Y86" s="42" t="n"/>
      <c r="Z86" s="42" t="n">
        <v>2688</v>
      </c>
      <c r="AA86" s="42" t="n"/>
      <c r="AB86" s="42" t="n"/>
      <c r="AC86" s="42" t="n"/>
      <c r="AD86" s="42" t="n"/>
      <c r="AE86" s="43">
        <f>SUM(L86:AD86)</f>
        <v/>
      </c>
      <c r="AF86" s="218">
        <f>J86*AE86</f>
        <v/>
      </c>
      <c r="AG86" s="191" t="n"/>
      <c r="AH86" s="1629" t="n">
        <v>2051</v>
      </c>
      <c r="AI86" s="1629" t="n"/>
      <c r="AJ86" s="1632">
        <f>SUM(AK86:AK88)</f>
        <v/>
      </c>
      <c r="AK86" s="44" t="n">
        <v>361</v>
      </c>
    </row>
    <row r="87" ht="30" customHeight="1">
      <c r="A87" s="1738" t="n"/>
      <c r="B87" s="138" t="inlineStr">
        <is>
          <t>II91</t>
        </is>
      </c>
      <c r="C87" s="89" t="inlineStr">
        <is>
          <t>FGA34</t>
        </is>
      </c>
      <c r="D87" s="139" t="inlineStr">
        <is>
          <t>NIKE AVA X</t>
        </is>
      </c>
      <c r="E87" s="89" t="inlineStr">
        <is>
          <t>IQ7633-700</t>
        </is>
      </c>
      <c r="F87" s="89" t="inlineStr">
        <is>
          <t>ALABASTER</t>
        </is>
      </c>
      <c r="G87" s="119" t="inlineStr">
        <is>
          <t>NO</t>
        </is>
      </c>
      <c r="H87" s="119" t="inlineStr">
        <is>
          <t>BLACK</t>
        </is>
      </c>
      <c r="I87" s="140" t="inlineStr">
        <is>
          <t>CMP 014</t>
        </is>
      </c>
      <c r="J87" s="1770" t="n">
        <v>0.19648</v>
      </c>
      <c r="K87" s="141" t="inlineStr">
        <is>
          <t>ME</t>
        </is>
      </c>
      <c r="L87" s="1768" t="n"/>
      <c r="M87" s="1768" t="n"/>
      <c r="N87" s="1768" t="n"/>
      <c r="O87" s="1768" t="n"/>
      <c r="P87" s="1768" t="n"/>
      <c r="Q87" s="1768" t="n"/>
      <c r="R87" s="1768" t="n"/>
      <c r="S87" s="1768" t="n">
        <v>697</v>
      </c>
      <c r="T87" s="1768" t="n">
        <v>2057</v>
      </c>
      <c r="U87" s="1768" t="n"/>
      <c r="V87" s="94" t="n">
        <v>2573</v>
      </c>
      <c r="W87" s="94" t="n">
        <v>692</v>
      </c>
      <c r="X87" s="94" t="n"/>
      <c r="Y87" s="94" t="n"/>
      <c r="Z87" s="94" t="n"/>
      <c r="AA87" s="94" t="n"/>
      <c r="AB87" s="94" t="n"/>
      <c r="AC87" s="94" t="n"/>
      <c r="AD87" s="94" t="n"/>
      <c r="AE87" s="120">
        <f>SUM(L87:AD87)</f>
        <v/>
      </c>
      <c r="AF87" s="206">
        <f>J87*AE87</f>
        <v/>
      </c>
      <c r="AG87" s="195" t="n"/>
      <c r="AH87" s="1745" t="n"/>
      <c r="AI87" s="1745" t="n"/>
      <c r="AJ87" s="1745" t="n"/>
      <c r="AK87" s="121" t="n">
        <v>0</v>
      </c>
    </row>
    <row r="88" ht="30" customHeight="1" thickBot="1">
      <c r="A88" s="1738" t="n"/>
      <c r="B88" s="109" t="inlineStr">
        <is>
          <t>II91</t>
        </is>
      </c>
      <c r="C88" s="51" t="inlineStr">
        <is>
          <t>FGA34</t>
        </is>
      </c>
      <c r="D88" s="136" t="inlineStr">
        <is>
          <t>NIKE AVA X</t>
        </is>
      </c>
      <c r="E88" s="51" t="inlineStr">
        <is>
          <t>IX0352-025</t>
        </is>
      </c>
      <c r="F88" s="51" t="inlineStr">
        <is>
          <t>BLACK</t>
        </is>
      </c>
      <c r="G88" s="52" t="inlineStr">
        <is>
          <t>PHOTON DUST</t>
        </is>
      </c>
      <c r="H88" s="52" t="inlineStr">
        <is>
          <t>LT ARMORY BLUE</t>
        </is>
      </c>
      <c r="I88" s="110" t="inlineStr">
        <is>
          <t>CMP 014</t>
        </is>
      </c>
      <c r="J88" s="1742" t="n">
        <v>0.19648</v>
      </c>
      <c r="K88" s="137" t="inlineStr">
        <is>
          <t>ME</t>
        </is>
      </c>
      <c r="L88" s="1743" t="n"/>
      <c r="M88" s="1743" t="n"/>
      <c r="N88" s="1743" t="n"/>
      <c r="O88" s="1743" t="n">
        <v>0</v>
      </c>
      <c r="P88" s="1743" t="n">
        <v>0</v>
      </c>
      <c r="Q88" s="1743" t="n"/>
      <c r="R88" s="1743" t="n"/>
      <c r="S88" s="1743" t="n">
        <v>60</v>
      </c>
      <c r="T88" s="1743" t="n"/>
      <c r="U88" s="1743" t="n"/>
      <c r="V88" s="58" t="n"/>
      <c r="W88" s="58" t="n"/>
      <c r="X88" s="58" t="n"/>
      <c r="Y88" s="58" t="n"/>
      <c r="Z88" s="58" t="n"/>
      <c r="AA88" s="58" t="n"/>
      <c r="AB88" s="58" t="n"/>
      <c r="AC88" s="58" t="n"/>
      <c r="AD88" s="58" t="n"/>
      <c r="AE88" s="46">
        <f>SUM(L88:AD88)</f>
        <v/>
      </c>
      <c r="AF88" s="47">
        <f>J88*AE88</f>
        <v/>
      </c>
      <c r="AG88" s="192" t="inlineStr">
        <is>
          <t>FINISH ORDER CHANGE STYLE</t>
        </is>
      </c>
      <c r="AH88" s="1745" t="n"/>
      <c r="AI88" s="1745" t="n"/>
      <c r="AJ88" s="1745" t="n"/>
      <c r="AK88" s="47" t="n">
        <v>554</v>
      </c>
    </row>
    <row r="89" ht="30" customHeight="1">
      <c r="A89" s="1570" t="inlineStr">
        <is>
          <t>F</t>
        </is>
      </c>
      <c r="B89" s="219" t="inlineStr">
        <is>
          <t>IP01</t>
        </is>
      </c>
      <c r="C89" s="220" t="inlineStr">
        <is>
          <t>FGA35</t>
        </is>
      </c>
      <c r="D89" s="221" t="inlineStr">
        <is>
          <t>W NIKE DOWNSHIFTER 13</t>
        </is>
      </c>
      <c r="E89" s="220" t="inlineStr">
        <is>
          <t>FD6476-001</t>
        </is>
      </c>
      <c r="F89" s="220" t="inlineStr">
        <is>
          <t>WHITE</t>
        </is>
      </c>
      <c r="G89" s="222" t="inlineStr">
        <is>
          <t>NO</t>
        </is>
      </c>
      <c r="H89" s="222" t="inlineStr">
        <is>
          <t>DK SMOKE GREY</t>
        </is>
      </c>
      <c r="I89" s="223" t="inlineStr">
        <is>
          <t>BIP 024</t>
        </is>
      </c>
      <c r="J89" s="1771" t="n">
        <v>0.1658</v>
      </c>
      <c r="K89" s="225" t="inlineStr">
        <is>
          <t>WO</t>
        </is>
      </c>
      <c r="L89" s="1772" t="n"/>
      <c r="M89" s="1772" t="n"/>
      <c r="N89" s="1772" t="n">
        <v>0</v>
      </c>
      <c r="O89" s="1772" t="n">
        <v>0</v>
      </c>
      <c r="P89" s="1772" t="n">
        <v>0</v>
      </c>
      <c r="Q89" s="1772" t="n">
        <v>0</v>
      </c>
      <c r="R89" s="1772" t="n">
        <v>0</v>
      </c>
      <c r="S89" s="1772" t="n">
        <v>0</v>
      </c>
      <c r="T89" s="1772" t="n">
        <v>0</v>
      </c>
      <c r="U89" s="1772" t="n">
        <v>52</v>
      </c>
      <c r="V89" s="227" t="n">
        <v>602</v>
      </c>
      <c r="W89" s="227" t="n">
        <v>188</v>
      </c>
      <c r="X89" s="227" t="n">
        <v>267</v>
      </c>
      <c r="Y89" s="227" t="n"/>
      <c r="Z89" s="227" t="n"/>
      <c r="AA89" s="227" t="n"/>
      <c r="AB89" s="227" t="n"/>
      <c r="AC89" s="227" t="n"/>
      <c r="AD89" s="227" t="n"/>
      <c r="AE89" s="228">
        <f>SUM(L89:AD89)</f>
        <v/>
      </c>
      <c r="AF89" s="229">
        <f>J89*AE89</f>
        <v/>
      </c>
      <c r="AG89" s="230" t="n"/>
      <c r="AH89" s="1773" t="n">
        <v>2106</v>
      </c>
      <c r="AI89" s="1773">
        <f>138+60</f>
        <v/>
      </c>
      <c r="AJ89" s="1773">
        <f>SUM(AK89:AK91)</f>
        <v/>
      </c>
      <c r="AK89" s="229" t="n">
        <v>5396</v>
      </c>
    </row>
    <row r="90" ht="30" customHeight="1">
      <c r="A90" s="1738" t="n"/>
      <c r="B90" s="113" t="inlineStr">
        <is>
          <t>IP01</t>
        </is>
      </c>
      <c r="C90" s="21" t="inlineStr">
        <is>
          <t>FGA35</t>
        </is>
      </c>
      <c r="D90" s="243" t="inlineStr">
        <is>
          <t>W NIKE DOWNSHIFTER 13</t>
        </is>
      </c>
      <c r="E90" s="21" t="inlineStr">
        <is>
          <t>FD6476-012</t>
        </is>
      </c>
      <c r="F90" s="21" t="inlineStr">
        <is>
          <t>WHITE</t>
        </is>
      </c>
      <c r="G90" s="22" t="inlineStr">
        <is>
          <t>NO</t>
        </is>
      </c>
      <c r="H90" s="22" t="inlineStr">
        <is>
          <t>BLUE VOID</t>
        </is>
      </c>
      <c r="I90" s="24" t="inlineStr">
        <is>
          <t>BIP 024</t>
        </is>
      </c>
      <c r="J90" s="1736" t="n">
        <v>0.1658</v>
      </c>
      <c r="K90" s="244" t="inlineStr">
        <is>
          <t>WO</t>
        </is>
      </c>
      <c r="L90" s="1737" t="n"/>
      <c r="M90" s="1737" t="n">
        <v>0</v>
      </c>
      <c r="N90" s="1737" t="n"/>
      <c r="O90" s="1737" t="n"/>
      <c r="P90" s="1737" t="n"/>
      <c r="Q90" s="1737" t="n"/>
      <c r="R90" s="1737" t="n"/>
      <c r="S90" s="1737" t="n"/>
      <c r="T90" s="1737" t="n"/>
      <c r="U90" s="1737" t="n"/>
      <c r="V90" s="28" t="n">
        <v>226</v>
      </c>
      <c r="W90" s="28" t="n">
        <v>1792</v>
      </c>
      <c r="X90" s="28" t="n">
        <v>1413</v>
      </c>
      <c r="Y90" s="28" t="n">
        <v>1451</v>
      </c>
      <c r="Z90" s="28" t="n">
        <v>288</v>
      </c>
      <c r="AA90" s="28" t="n"/>
      <c r="AB90" s="28" t="n"/>
      <c r="AC90" s="28" t="n"/>
      <c r="AD90" s="28" t="n"/>
      <c r="AE90" s="29">
        <f>SUM(L90:AD90)</f>
        <v/>
      </c>
      <c r="AF90" s="30">
        <f>J90*AE90</f>
        <v/>
      </c>
      <c r="AG90" s="190" t="n"/>
      <c r="AH90" s="1745" t="n"/>
      <c r="AI90" s="1745" t="n"/>
      <c r="AJ90" s="1745" t="n"/>
      <c r="AK90" s="30" t="n">
        <v>462</v>
      </c>
    </row>
    <row r="91" ht="30" customHeight="1" thickBot="1">
      <c r="A91" s="1738" t="n"/>
      <c r="B91" s="123" t="inlineStr">
        <is>
          <t>IP01</t>
        </is>
      </c>
      <c r="C91" s="63" t="inlineStr">
        <is>
          <t>FGA35</t>
        </is>
      </c>
      <c r="D91" s="146" t="inlineStr">
        <is>
          <t>W NIKE DOWNSHIFTER 13</t>
        </is>
      </c>
      <c r="E91" s="63" t="inlineStr">
        <is>
          <t>FD6476-107</t>
        </is>
      </c>
      <c r="F91" s="63" t="inlineStr">
        <is>
          <t>WHITE</t>
        </is>
      </c>
      <c r="G91" s="64" t="inlineStr">
        <is>
          <t>NO</t>
        </is>
      </c>
      <c r="H91" s="64" t="inlineStr">
        <is>
          <t>MINK BROWN</t>
        </is>
      </c>
      <c r="I91" s="66" t="inlineStr">
        <is>
          <t>BIP 024</t>
        </is>
      </c>
      <c r="J91" s="1739" t="n">
        <v>0.1658</v>
      </c>
      <c r="K91" s="231" t="inlineStr">
        <is>
          <t>WO</t>
        </is>
      </c>
      <c r="L91" s="1740" t="n"/>
      <c r="M91" s="1740" t="n"/>
      <c r="N91" s="1740" t="n"/>
      <c r="O91" s="1740" t="n"/>
      <c r="P91" s="1740" t="n"/>
      <c r="Q91" s="1740" t="n"/>
      <c r="R91" s="1740" t="n"/>
      <c r="S91" s="1740" t="n"/>
      <c r="T91" s="1740" t="n"/>
      <c r="U91" s="1740" t="n"/>
      <c r="V91" s="70" t="n"/>
      <c r="W91" s="70" t="n"/>
      <c r="X91" s="70" t="n"/>
      <c r="Y91" s="70" t="n">
        <v>913</v>
      </c>
      <c r="Z91" s="70" t="n">
        <v>2076</v>
      </c>
      <c r="AA91" s="70" t="n"/>
      <c r="AB91" s="70" t="n"/>
      <c r="AC91" s="70" t="n"/>
      <c r="AD91" s="70" t="n"/>
      <c r="AE91" s="71">
        <f>SUM(L91:AD91)</f>
        <v/>
      </c>
      <c r="AF91" s="72">
        <f>J91*AE91</f>
        <v/>
      </c>
      <c r="AG91" s="193" t="n"/>
      <c r="AH91" s="1741" t="n"/>
      <c r="AI91" s="1741" t="n"/>
      <c r="AJ91" s="1741" t="n"/>
      <c r="AK91" s="73" t="n">
        <v>0</v>
      </c>
    </row>
    <row r="92" ht="30" customHeight="1">
      <c r="A92" s="1738" t="n"/>
      <c r="B92" s="116" t="inlineStr">
        <is>
          <t>IP01</t>
        </is>
      </c>
      <c r="C92" s="35" t="inlineStr">
        <is>
          <t>FGA36</t>
        </is>
      </c>
      <c r="D92" s="133" t="inlineStr">
        <is>
          <t>NIKE DOWNSHIFTER 14</t>
        </is>
      </c>
      <c r="E92" s="35" t="inlineStr">
        <is>
          <t>IB1895-002</t>
        </is>
      </c>
      <c r="F92" s="35" t="inlineStr">
        <is>
          <t>WHITE</t>
        </is>
      </c>
      <c r="G92" s="36" t="inlineStr">
        <is>
          <t>NO</t>
        </is>
      </c>
      <c r="H92" s="36" t="inlineStr">
        <is>
          <t>NO</t>
        </is>
      </c>
      <c r="I92" s="38" t="inlineStr">
        <is>
          <t>LCIP 001</t>
        </is>
      </c>
      <c r="J92" s="1746" t="n">
        <v>0.2679</v>
      </c>
      <c r="K92" s="135" t="inlineStr">
        <is>
          <t>ME</t>
        </is>
      </c>
      <c r="L92" s="1747" t="n"/>
      <c r="M92" s="1747" t="n"/>
      <c r="N92" s="1747" t="n"/>
      <c r="O92" s="1747" t="n"/>
      <c r="P92" s="1747" t="n"/>
      <c r="Q92" s="1747" t="n"/>
      <c r="R92" s="1747" t="n"/>
      <c r="S92" s="1747" t="n"/>
      <c r="T92" s="1747" t="n">
        <v>845</v>
      </c>
      <c r="U92" s="1747" t="n">
        <v>1894</v>
      </c>
      <c r="V92" s="42" t="n">
        <v>1868</v>
      </c>
      <c r="W92" s="42" t="n">
        <v>2364</v>
      </c>
      <c r="X92" s="42" t="n">
        <v>1458</v>
      </c>
      <c r="Y92" s="42" t="n">
        <v>2364</v>
      </c>
      <c r="Z92" s="42" t="n">
        <v>2364</v>
      </c>
      <c r="AA92" s="42" t="n"/>
      <c r="AB92" s="42" t="n"/>
      <c r="AC92" s="42" t="n"/>
      <c r="AD92" s="42" t="n"/>
      <c r="AE92" s="43">
        <f>SUM(L92:AD92)</f>
        <v/>
      </c>
      <c r="AF92" s="44">
        <f>J92*AE92</f>
        <v/>
      </c>
      <c r="AG92" s="191" t="n"/>
      <c r="AH92" s="1773" t="n">
        <v>2330</v>
      </c>
      <c r="AI92" s="1773">
        <f>36+72+84+348+109</f>
        <v/>
      </c>
      <c r="AJ92" s="1744">
        <f>SUM(AK92:AK94)</f>
        <v/>
      </c>
      <c r="AK92" s="44" t="n">
        <v>1422</v>
      </c>
    </row>
    <row r="93" ht="30" customHeight="1">
      <c r="A93" s="1738" t="n"/>
      <c r="B93" s="122" t="inlineStr">
        <is>
          <t>IP01</t>
        </is>
      </c>
      <c r="C93" s="51" t="inlineStr">
        <is>
          <t>FGA36</t>
        </is>
      </c>
      <c r="D93" s="136" t="inlineStr">
        <is>
          <t>NIKE DOWNSHIFTER 14</t>
        </is>
      </c>
      <c r="E93" s="49" t="inlineStr">
        <is>
          <t>IB1895-006</t>
        </is>
      </c>
      <c r="F93" s="51" t="inlineStr">
        <is>
          <t>BLACK</t>
        </is>
      </c>
      <c r="G93" s="52" t="inlineStr">
        <is>
          <t>NO</t>
        </is>
      </c>
      <c r="H93" s="52" t="inlineStr">
        <is>
          <t>NO</t>
        </is>
      </c>
      <c r="I93" s="54" t="inlineStr">
        <is>
          <t>LCIP 001</t>
        </is>
      </c>
      <c r="J93" s="1742" t="n">
        <v>0.2679</v>
      </c>
      <c r="K93" s="56" t="inlineStr">
        <is>
          <t>ME</t>
        </is>
      </c>
      <c r="L93" s="1743" t="n">
        <v>0</v>
      </c>
      <c r="M93" s="1743" t="n">
        <v>0</v>
      </c>
      <c r="N93" s="1743" t="n">
        <v>0</v>
      </c>
      <c r="O93" s="1743" t="n">
        <v>0</v>
      </c>
      <c r="P93" s="1765" t="n">
        <v>0</v>
      </c>
      <c r="Q93" s="1765" t="n">
        <v>529</v>
      </c>
      <c r="R93" s="1765" t="n">
        <v>315</v>
      </c>
      <c r="S93" s="1743" t="n"/>
      <c r="T93" s="1743" t="n"/>
      <c r="U93" s="1743" t="n"/>
      <c r="V93" s="58" t="n"/>
      <c r="W93" s="58" t="n"/>
      <c r="X93" s="58" t="n"/>
      <c r="Y93" s="58" t="n"/>
      <c r="Z93" s="58" t="n"/>
      <c r="AA93" s="58" t="n"/>
      <c r="AB93" s="58" t="n"/>
      <c r="AC93" s="58" t="n"/>
      <c r="AD93" s="58" t="n"/>
      <c r="AE93" s="46">
        <f>SUM(L93:AD93)</f>
        <v/>
      </c>
      <c r="AF93" s="47">
        <f>J93*AE93</f>
        <v/>
      </c>
      <c r="AG93" s="214" t="inlineStr">
        <is>
          <t>PENDING ASSY DATE 4/16~4/18</t>
        </is>
      </c>
      <c r="AH93" s="1745" t="n"/>
      <c r="AI93" s="1745" t="n"/>
      <c r="AJ93" s="1745" t="n"/>
      <c r="AK93" s="47" t="n">
        <v>1835</v>
      </c>
    </row>
    <row r="94" ht="30" customHeight="1" thickBot="1">
      <c r="A94" s="1738" t="n"/>
      <c r="B94" s="123" t="inlineStr">
        <is>
          <t>IP01</t>
        </is>
      </c>
      <c r="C94" s="63" t="inlineStr">
        <is>
          <t>FGA36</t>
        </is>
      </c>
      <c r="D94" s="146" t="inlineStr">
        <is>
          <t>NIKE DOWNSHIFTER 14</t>
        </is>
      </c>
      <c r="E94" s="61" t="inlineStr">
        <is>
          <t>IB1895-102</t>
        </is>
      </c>
      <c r="F94" s="63" t="inlineStr">
        <is>
          <t>WHITE</t>
        </is>
      </c>
      <c r="G94" s="64" t="inlineStr">
        <is>
          <t>NO</t>
        </is>
      </c>
      <c r="H94" s="64" t="inlineStr">
        <is>
          <t>NO</t>
        </is>
      </c>
      <c r="I94" s="66" t="inlineStr">
        <is>
          <t>LCIP 001</t>
        </is>
      </c>
      <c r="J94" s="1739" t="n">
        <v>0.2679</v>
      </c>
      <c r="K94" s="68" t="inlineStr">
        <is>
          <t>ME</t>
        </is>
      </c>
      <c r="L94" s="1740" t="n"/>
      <c r="M94" s="1740" t="n"/>
      <c r="N94" s="1740" t="n"/>
      <c r="O94" s="1740" t="n"/>
      <c r="P94" s="1740" t="n">
        <v>0</v>
      </c>
      <c r="Q94" s="1740" t="n">
        <v>44</v>
      </c>
      <c r="R94" s="1740" t="n">
        <v>138</v>
      </c>
      <c r="S94" s="1740" t="n"/>
      <c r="T94" s="1740" t="n">
        <v>349</v>
      </c>
      <c r="U94" s="174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1">
        <f>SUM(L94:AD94)</f>
        <v/>
      </c>
      <c r="AF94" s="72">
        <f>J94*AE94</f>
        <v/>
      </c>
      <c r="AG94" s="193" t="inlineStr">
        <is>
          <t>FINISH ORDER CHANGE STYLE</t>
        </is>
      </c>
      <c r="AH94" s="1741" t="n"/>
      <c r="AI94" s="1741" t="n"/>
      <c r="AJ94" s="1741" t="n"/>
      <c r="AK94" s="73" t="n">
        <v>634</v>
      </c>
    </row>
    <row r="95" ht="30" customHeight="1">
      <c r="A95" s="1738" t="n"/>
      <c r="B95" s="116" t="inlineStr">
        <is>
          <t>IP01</t>
        </is>
      </c>
      <c r="C95" s="35" t="inlineStr">
        <is>
          <t>FGA37</t>
        </is>
      </c>
      <c r="D95" s="133" t="inlineStr">
        <is>
          <t>NIKE DOWNSHIFTER 14</t>
        </is>
      </c>
      <c r="E95" s="33" t="inlineStr">
        <is>
          <t>IB1895-001</t>
        </is>
      </c>
      <c r="F95" s="35" t="inlineStr">
        <is>
          <t>BLACK</t>
        </is>
      </c>
      <c r="G95" s="36" t="inlineStr">
        <is>
          <t>NO</t>
        </is>
      </c>
      <c r="H95" s="36" t="inlineStr">
        <is>
          <t>NO</t>
        </is>
      </c>
      <c r="I95" s="38" t="inlineStr">
        <is>
          <t>LCIP 001</t>
        </is>
      </c>
      <c r="J95" s="1746" t="n">
        <v>0.2679</v>
      </c>
      <c r="K95" s="40" t="inlineStr">
        <is>
          <t>ME</t>
        </is>
      </c>
      <c r="L95" s="1747" t="n"/>
      <c r="M95" s="1747" t="n"/>
      <c r="N95" s="1747" t="n">
        <v>0</v>
      </c>
      <c r="O95" s="1747" t="n">
        <v>88</v>
      </c>
      <c r="P95" s="1747" t="n">
        <v>610</v>
      </c>
      <c r="Q95" s="1747" t="n"/>
      <c r="R95" s="1747" t="n">
        <v>356</v>
      </c>
      <c r="S95" s="1747" t="n"/>
      <c r="T95" s="1747" t="n"/>
      <c r="U95" s="1747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3">
        <f>SUM(L95:AD95)</f>
        <v/>
      </c>
      <c r="AF95" s="44">
        <f>J95*AE95</f>
        <v/>
      </c>
      <c r="AG95" s="191" t="inlineStr">
        <is>
          <t>FINISH ORDER CHANGE STYLE</t>
        </is>
      </c>
      <c r="AH95" s="1566" t="n">
        <v>2412</v>
      </c>
      <c r="AI95" s="1566">
        <f>84+252+360</f>
        <v/>
      </c>
      <c r="AJ95" s="1566">
        <f>SUM(AK95:AK96)</f>
        <v/>
      </c>
      <c r="AK95" s="44" t="n">
        <v>1444</v>
      </c>
    </row>
    <row r="96" ht="30" customHeight="1" thickBot="1">
      <c r="A96" s="1738" t="n"/>
      <c r="B96" s="143" t="inlineStr">
        <is>
          <t>IP01</t>
        </is>
      </c>
      <c r="C96" s="125" t="inlineStr">
        <is>
          <t>FGA37</t>
        </is>
      </c>
      <c r="D96" s="144" t="inlineStr">
        <is>
          <t>NIKE DOWNSHIFTER 14</t>
        </is>
      </c>
      <c r="E96" s="124" t="inlineStr">
        <is>
          <t>IB1895-002</t>
        </is>
      </c>
      <c r="F96" s="125" t="inlineStr">
        <is>
          <t>WHITE</t>
        </is>
      </c>
      <c r="G96" s="126" t="inlineStr">
        <is>
          <t>NO</t>
        </is>
      </c>
      <c r="H96" s="126" t="inlineStr">
        <is>
          <t>NO</t>
        </is>
      </c>
      <c r="I96" s="145" t="inlineStr">
        <is>
          <t>LCIP 001</t>
        </is>
      </c>
      <c r="J96" s="1756" t="n">
        <v>0.2679</v>
      </c>
      <c r="K96" s="128" t="inlineStr">
        <is>
          <t>ME</t>
        </is>
      </c>
      <c r="L96" s="1759" t="n"/>
      <c r="M96" s="1759" t="n"/>
      <c r="N96" s="1759" t="n"/>
      <c r="O96" s="1759" t="n"/>
      <c r="P96" s="1759" t="n">
        <v>0</v>
      </c>
      <c r="Q96" s="1759" t="n"/>
      <c r="R96" s="1759" t="n">
        <v>392</v>
      </c>
      <c r="S96" s="1759" t="n">
        <v>1736</v>
      </c>
      <c r="T96" s="1759" t="n">
        <v>1076</v>
      </c>
      <c r="U96" s="1759" t="n">
        <v>1029</v>
      </c>
      <c r="V96" s="130" t="n">
        <v>1718</v>
      </c>
      <c r="W96" s="130" t="n">
        <v>2336</v>
      </c>
      <c r="X96" s="130" t="n">
        <v>1680</v>
      </c>
      <c r="Y96" s="130" t="n">
        <v>2364</v>
      </c>
      <c r="Z96" s="130" t="n">
        <v>2364</v>
      </c>
      <c r="AA96" s="130" t="n"/>
      <c r="AB96" s="130" t="n"/>
      <c r="AC96" s="130" t="n"/>
      <c r="AD96" s="130" t="n"/>
      <c r="AE96" s="29">
        <f>SUM(L96:AD96)</f>
        <v/>
      </c>
      <c r="AF96" s="30">
        <f>J96*AE96</f>
        <v/>
      </c>
      <c r="AG96" s="198" t="n"/>
      <c r="AH96" s="1745" t="n"/>
      <c r="AI96" s="1745" t="n"/>
      <c r="AJ96" s="1745" t="n"/>
      <c r="AK96" s="131" t="n">
        <v>2904</v>
      </c>
    </row>
    <row r="97" ht="30" customHeight="1">
      <c r="A97" s="1738" t="n"/>
      <c r="B97" s="116" t="inlineStr">
        <is>
          <t>IP01</t>
        </is>
      </c>
      <c r="C97" s="35" t="inlineStr">
        <is>
          <t>FGA38</t>
        </is>
      </c>
      <c r="D97" s="133" t="inlineStr">
        <is>
          <t>NIKE DOWNSHIFTER 14</t>
        </is>
      </c>
      <c r="E97" s="33" t="inlineStr">
        <is>
          <t>IB1895-002</t>
        </is>
      </c>
      <c r="F97" s="35" t="inlineStr">
        <is>
          <t>WHITE</t>
        </is>
      </c>
      <c r="G97" s="36" t="inlineStr">
        <is>
          <t>NO</t>
        </is>
      </c>
      <c r="H97" s="36" t="inlineStr">
        <is>
          <t>NO</t>
        </is>
      </c>
      <c r="I97" s="38" t="inlineStr">
        <is>
          <t>LCIP 001</t>
        </is>
      </c>
      <c r="J97" s="1746" t="n"/>
      <c r="K97" s="40" t="inlineStr">
        <is>
          <t>ME</t>
        </is>
      </c>
      <c r="L97" s="1747" t="n"/>
      <c r="M97" s="1747" t="n"/>
      <c r="N97" s="1747" t="n"/>
      <c r="O97" s="1747" t="n"/>
      <c r="P97" s="1747" t="n">
        <v>0</v>
      </c>
      <c r="Q97" s="1747" t="n">
        <v>180</v>
      </c>
      <c r="R97" s="1747" t="n">
        <v>24</v>
      </c>
      <c r="S97" s="1747" t="n">
        <v>641</v>
      </c>
      <c r="T97" s="1747" t="n">
        <v>652</v>
      </c>
      <c r="U97" s="1747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3">
        <f>SUM(L97:AD97)</f>
        <v/>
      </c>
      <c r="AF97" s="44">
        <f>J97*AE97</f>
        <v/>
      </c>
      <c r="AG97" s="191" t="inlineStr">
        <is>
          <t>FINISH ORDER CHANGE STYLE</t>
        </is>
      </c>
      <c r="AH97" s="1744" t="n">
        <v>2867</v>
      </c>
      <c r="AI97" s="1744">
        <f>192+360+1068</f>
        <v/>
      </c>
      <c r="AJ97" s="1744">
        <f>SUM(AK97:AK98)</f>
        <v/>
      </c>
      <c r="AK97" s="45" t="n">
        <v>3180</v>
      </c>
    </row>
    <row r="98" ht="30" customHeight="1" thickBot="1">
      <c r="A98" s="1571" t="n"/>
      <c r="B98" s="143" t="inlineStr">
        <is>
          <t>IP01</t>
        </is>
      </c>
      <c r="C98" s="125" t="inlineStr">
        <is>
          <t>FGA38</t>
        </is>
      </c>
      <c r="D98" s="144" t="inlineStr">
        <is>
          <t>W NIKE DOWNSHIFTER 14</t>
        </is>
      </c>
      <c r="E98" s="124" t="inlineStr">
        <is>
          <t>IB1899-502</t>
        </is>
      </c>
      <c r="F98" s="125" t="inlineStr">
        <is>
          <t>SAIL</t>
        </is>
      </c>
      <c r="G98" s="126" t="inlineStr">
        <is>
          <t>NO</t>
        </is>
      </c>
      <c r="H98" s="126" t="inlineStr">
        <is>
          <t>NO</t>
        </is>
      </c>
      <c r="I98" s="145" t="inlineStr">
        <is>
          <t>LCIP 001</t>
        </is>
      </c>
      <c r="J98" s="1756" t="n">
        <v>0.2105</v>
      </c>
      <c r="K98" s="128" t="inlineStr">
        <is>
          <t>WO</t>
        </is>
      </c>
      <c r="L98" s="1759" t="n">
        <v>0</v>
      </c>
      <c r="M98" s="1759" t="n"/>
      <c r="N98" s="1759" t="n"/>
      <c r="O98" s="1759" t="n"/>
      <c r="P98" s="1759" t="n"/>
      <c r="Q98" s="1759" t="n"/>
      <c r="R98" s="1759" t="n"/>
      <c r="S98" s="1759" t="n"/>
      <c r="T98" s="1759" t="n">
        <v>419</v>
      </c>
      <c r="U98" s="1759" t="n">
        <v>714</v>
      </c>
      <c r="V98" s="130" t="n">
        <v>493</v>
      </c>
      <c r="W98" s="130" t="n"/>
      <c r="X98" s="130" t="n">
        <v>1404</v>
      </c>
      <c r="Y98" s="130" t="n">
        <v>2364</v>
      </c>
      <c r="Z98" s="130" t="n">
        <v>2364</v>
      </c>
      <c r="AA98" s="130" t="n"/>
      <c r="AB98" s="130" t="n"/>
      <c r="AC98" s="130" t="n"/>
      <c r="AD98" s="130" t="n"/>
      <c r="AE98" s="207">
        <f>SUM(L98:AD98)</f>
        <v/>
      </c>
      <c r="AF98" s="131">
        <f>J98*AE98</f>
        <v/>
      </c>
      <c r="AG98" s="198" t="n"/>
      <c r="AH98" s="1741" t="n"/>
      <c r="AI98" s="1741" t="n"/>
      <c r="AJ98" s="1741" t="n"/>
      <c r="AK98" s="131" t="n">
        <v>2561</v>
      </c>
    </row>
    <row r="99" ht="30" customHeight="1">
      <c r="A99" s="1774" t="inlineStr">
        <is>
          <t>G</t>
        </is>
      </c>
      <c r="B99" s="116" t="inlineStr">
        <is>
          <t>IP01</t>
        </is>
      </c>
      <c r="C99" s="35" t="inlineStr">
        <is>
          <t>FGA45</t>
        </is>
      </c>
      <c r="D99" s="133" t="inlineStr">
        <is>
          <t>JORDAN FLIGHT COURT</t>
        </is>
      </c>
      <c r="E99" s="33" t="inlineStr">
        <is>
          <t>HF3255-010</t>
        </is>
      </c>
      <c r="F99" s="35" t="inlineStr">
        <is>
          <t>BLACK</t>
        </is>
      </c>
      <c r="G99" s="36" t="inlineStr">
        <is>
          <t>NO</t>
        </is>
      </c>
      <c r="H99" s="36" t="inlineStr">
        <is>
          <t>NO</t>
        </is>
      </c>
      <c r="I99" s="38" t="inlineStr">
        <is>
          <t>LCIP 024</t>
        </is>
      </c>
      <c r="J99" s="1746" t="n">
        <v>0.15772</v>
      </c>
      <c r="K99" s="40" t="inlineStr">
        <is>
          <t>ME</t>
        </is>
      </c>
      <c r="L99" s="1747" t="n">
        <v>0</v>
      </c>
      <c r="M99" s="1747" t="n"/>
      <c r="N99" s="1747" t="n"/>
      <c r="O99" s="1747" t="n"/>
      <c r="P99" s="1747" t="n"/>
      <c r="Q99" s="1747" t="n"/>
      <c r="R99" s="1747" t="n"/>
      <c r="S99" s="1747" t="n"/>
      <c r="T99" s="1747" t="n"/>
      <c r="U99" s="1747" t="n"/>
      <c r="V99" s="42" t="n">
        <v>84</v>
      </c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3">
        <f>SUM(L99:AD99)</f>
        <v/>
      </c>
      <c r="AF99" s="44">
        <f>J99*AE99</f>
        <v/>
      </c>
      <c r="AG99" s="191" t="inlineStr">
        <is>
          <t>FINISH ORDER CHANGE STYLE</t>
        </is>
      </c>
      <c r="AH99" s="1744" t="n">
        <v>806</v>
      </c>
      <c r="AI99" s="1744">
        <f>336+82+48+36</f>
        <v/>
      </c>
      <c r="AJ99" s="1744">
        <f>SUM(AK99:AK103)</f>
        <v/>
      </c>
      <c r="AK99" s="44" t="n">
        <v>0</v>
      </c>
    </row>
    <row r="100" ht="30" customHeight="1">
      <c r="A100" s="1738" t="n"/>
      <c r="B100" s="122" t="inlineStr">
        <is>
          <t>IP01</t>
        </is>
      </c>
      <c r="C100" s="51" t="inlineStr">
        <is>
          <t>FGA45</t>
        </is>
      </c>
      <c r="D100" s="136" t="inlineStr">
        <is>
          <t>JORDAN FLIGHT COURT</t>
        </is>
      </c>
      <c r="E100" s="88" t="inlineStr">
        <is>
          <t>HF3255-015</t>
        </is>
      </c>
      <c r="F100" s="89" t="inlineStr">
        <is>
          <t>PHANTOM</t>
        </is>
      </c>
      <c r="G100" s="119" t="inlineStr">
        <is>
          <t>NO</t>
        </is>
      </c>
      <c r="H100" s="119" t="inlineStr">
        <is>
          <t>NO</t>
        </is>
      </c>
      <c r="I100" s="54" t="inlineStr">
        <is>
          <t>LCIP 024</t>
        </is>
      </c>
      <c r="J100" s="1742" t="n">
        <v>0.15772</v>
      </c>
      <c r="K100" s="56" t="inlineStr">
        <is>
          <t>ME</t>
        </is>
      </c>
      <c r="L100" s="1768" t="n"/>
      <c r="M100" s="1768" t="n"/>
      <c r="N100" s="1768" t="n"/>
      <c r="O100" s="1768" t="n"/>
      <c r="P100" s="1768" t="n"/>
      <c r="Q100" s="1768" t="n"/>
      <c r="R100" s="1768" t="n"/>
      <c r="S100" s="1768" t="n"/>
      <c r="T100" s="1768" t="n"/>
      <c r="U100" s="1768" t="n"/>
      <c r="V100" s="94" t="n"/>
      <c r="W100" s="94" t="n"/>
      <c r="X100" s="94" t="n"/>
      <c r="Y100" s="94" t="n"/>
      <c r="Z100" s="94" t="n">
        <v>407</v>
      </c>
      <c r="AA100" s="94" t="n"/>
      <c r="AB100" s="94" t="n"/>
      <c r="AC100" s="94" t="n"/>
      <c r="AD100" s="94" t="n"/>
      <c r="AE100" s="46">
        <f>SUM(L100:AD100)</f>
        <v/>
      </c>
      <c r="AF100" s="47">
        <f>J100*AE100</f>
        <v/>
      </c>
      <c r="AG100" s="195" t="n"/>
      <c r="AH100" s="1745" t="n"/>
      <c r="AI100" s="1745" t="n"/>
      <c r="AJ100" s="1745" t="n"/>
      <c r="AK100" s="121" t="n">
        <v>0</v>
      </c>
    </row>
    <row r="101" ht="30" customHeight="1">
      <c r="A101" s="1738" t="n"/>
      <c r="B101" s="122" t="inlineStr">
        <is>
          <t>IP01</t>
        </is>
      </c>
      <c r="C101" s="51" t="inlineStr">
        <is>
          <t>FGA45</t>
        </is>
      </c>
      <c r="D101" s="136" t="inlineStr">
        <is>
          <t>JORDAN FLIGHT COURT</t>
        </is>
      </c>
      <c r="E101" s="88" t="inlineStr">
        <is>
          <t>HF3255-016</t>
        </is>
      </c>
      <c r="F101" s="89" t="inlineStr">
        <is>
          <t>WHITE</t>
        </is>
      </c>
      <c r="G101" s="119" t="inlineStr">
        <is>
          <t>BLACK</t>
        </is>
      </c>
      <c r="H101" s="119" t="inlineStr">
        <is>
          <t>NO</t>
        </is>
      </c>
      <c r="I101" s="54" t="inlineStr">
        <is>
          <t>LCIP 024</t>
        </is>
      </c>
      <c r="J101" s="1742" t="n">
        <v>0.15772</v>
      </c>
      <c r="K101" s="56" t="inlineStr">
        <is>
          <t>ME</t>
        </is>
      </c>
      <c r="L101" s="1768" t="n"/>
      <c r="M101" s="1768" t="n"/>
      <c r="N101" s="1768" t="n"/>
      <c r="O101" s="1768" t="n">
        <v>0</v>
      </c>
      <c r="P101" s="1768" t="n">
        <v>0</v>
      </c>
      <c r="Q101" s="1768" t="n"/>
      <c r="R101" s="1768" t="n"/>
      <c r="S101" s="1768" t="n"/>
      <c r="T101" s="1768" t="n"/>
      <c r="U101" s="1768" t="n"/>
      <c r="V101" s="94" t="n"/>
      <c r="W101" s="94" t="n">
        <v>0</v>
      </c>
      <c r="X101" s="94" t="n">
        <v>474</v>
      </c>
      <c r="Y101" s="94" t="n">
        <v>1200</v>
      </c>
      <c r="Z101" s="94" t="n">
        <v>793</v>
      </c>
      <c r="AA101" s="94" t="n"/>
      <c r="AB101" s="94" t="n"/>
      <c r="AC101" s="94" t="n"/>
      <c r="AD101" s="94" t="n"/>
      <c r="AE101" s="46">
        <f>SUM(L101:AD101)</f>
        <v/>
      </c>
      <c r="AF101" s="47">
        <f>J101*AE101</f>
        <v/>
      </c>
      <c r="AG101" s="195" t="n"/>
      <c r="AH101" s="1745" t="n"/>
      <c r="AI101" s="1745" t="n"/>
      <c r="AJ101" s="1745" t="n"/>
      <c r="AK101" s="121" t="n">
        <v>24</v>
      </c>
    </row>
    <row r="102" ht="30" customHeight="1">
      <c r="A102" s="1738" t="n"/>
      <c r="B102" s="122" t="inlineStr">
        <is>
          <t>IP01</t>
        </is>
      </c>
      <c r="C102" s="51" t="inlineStr">
        <is>
          <t>FGA45</t>
        </is>
      </c>
      <c r="D102" s="136" t="inlineStr">
        <is>
          <t>JORDAN FLIGHT COURT</t>
        </is>
      </c>
      <c r="E102" s="49" t="inlineStr">
        <is>
          <t>HF3255-105</t>
        </is>
      </c>
      <c r="F102" s="51" t="inlineStr">
        <is>
          <t>WHITE</t>
        </is>
      </c>
      <c r="G102" s="52" t="inlineStr">
        <is>
          <t>NO</t>
        </is>
      </c>
      <c r="H102" s="52" t="inlineStr">
        <is>
          <t>NO</t>
        </is>
      </c>
      <c r="I102" s="54" t="inlineStr">
        <is>
          <t>LCIP 024</t>
        </is>
      </c>
      <c r="J102" s="1742" t="n">
        <v>0.15772</v>
      </c>
      <c r="K102" s="56" t="inlineStr">
        <is>
          <t>ME</t>
        </is>
      </c>
      <c r="L102" s="1743" t="n">
        <v>0</v>
      </c>
      <c r="M102" s="1743" t="n">
        <v>0</v>
      </c>
      <c r="N102" s="1743" t="n"/>
      <c r="O102" s="1743" t="n"/>
      <c r="P102" s="1743" t="n"/>
      <c r="Q102" s="1743" t="n"/>
      <c r="R102" s="1743" t="n"/>
      <c r="S102" s="1743" t="n"/>
      <c r="T102" s="1743" t="n"/>
      <c r="U102" s="1743" t="n">
        <v>0</v>
      </c>
      <c r="V102" s="58" t="n">
        <v>0</v>
      </c>
      <c r="W102" s="58" t="n">
        <v>18</v>
      </c>
      <c r="X102" s="58" t="n"/>
      <c r="Y102" s="58" t="n"/>
      <c r="Z102" s="58" t="n"/>
      <c r="AA102" s="58" t="n"/>
      <c r="AB102" s="58" t="n"/>
      <c r="AC102" s="58" t="n"/>
      <c r="AD102" s="58" t="n"/>
      <c r="AE102" s="46">
        <f>SUM(L102:AD102)</f>
        <v/>
      </c>
      <c r="AF102" s="47">
        <f>J102*AE102</f>
        <v/>
      </c>
      <c r="AG102" s="192" t="inlineStr">
        <is>
          <t>FINISH ORDER CHANGE STYLE</t>
        </is>
      </c>
      <c r="AH102" s="1745" t="n"/>
      <c r="AI102" s="1745" t="n"/>
      <c r="AJ102" s="1745" t="n"/>
      <c r="AK102" s="47" t="n">
        <v>1848</v>
      </c>
    </row>
    <row r="103" ht="30" customHeight="1" thickBot="1">
      <c r="A103" s="1764" t="n"/>
      <c r="B103" s="147" t="inlineStr">
        <is>
          <t>II01</t>
        </is>
      </c>
      <c r="C103" s="98" t="inlineStr">
        <is>
          <t>FGA45</t>
        </is>
      </c>
      <c r="D103" s="148" t="inlineStr">
        <is>
          <t>JORDAN FLIGHT COURT</t>
        </is>
      </c>
      <c r="E103" s="96" t="inlineStr">
        <is>
          <t>HF3255-111</t>
        </is>
      </c>
      <c r="F103" s="98" t="inlineStr">
        <is>
          <t>WHITE</t>
        </is>
      </c>
      <c r="G103" s="99" t="inlineStr">
        <is>
          <t>GREY FOG</t>
        </is>
      </c>
      <c r="H103" s="99" t="inlineStr">
        <is>
          <t>NO</t>
        </is>
      </c>
      <c r="I103" s="101" t="inlineStr">
        <is>
          <t>LCIP 024</t>
        </is>
      </c>
      <c r="J103" s="1750" t="n">
        <v>0.15772</v>
      </c>
      <c r="K103" s="103" t="inlineStr">
        <is>
          <t>ME</t>
        </is>
      </c>
      <c r="L103" s="1751" t="n"/>
      <c r="M103" s="1751" t="n"/>
      <c r="N103" s="1751" t="n"/>
      <c r="O103" s="1751" t="n"/>
      <c r="P103" s="1751" t="n">
        <v>0</v>
      </c>
      <c r="Q103" s="1751" t="n">
        <v>0</v>
      </c>
      <c r="R103" s="1751" t="n">
        <v>0</v>
      </c>
      <c r="S103" s="1751" t="n">
        <v>0</v>
      </c>
      <c r="T103" s="1751" t="n">
        <v>0</v>
      </c>
      <c r="U103" s="1751" t="n">
        <v>12</v>
      </c>
      <c r="V103" s="105" t="n"/>
      <c r="W103" s="105" t="n"/>
      <c r="X103" s="105" t="n"/>
      <c r="Y103" s="105" t="n"/>
      <c r="Z103" s="105" t="n"/>
      <c r="AA103" s="105" t="n"/>
      <c r="AB103" s="105" t="n"/>
      <c r="AC103" s="105" t="n"/>
      <c r="AD103" s="105" t="n"/>
      <c r="AE103" s="106">
        <f>SUM(L103:AD103)</f>
        <v/>
      </c>
      <c r="AF103" s="107">
        <f>J103*AE103</f>
        <v/>
      </c>
      <c r="AG103" s="196" t="inlineStr">
        <is>
          <t>FINISH ORDER CHANGE STYLE</t>
        </is>
      </c>
      <c r="AH103" s="1741" t="n"/>
      <c r="AI103" s="1741" t="n"/>
      <c r="AJ103" s="1741" t="n"/>
      <c r="AK103" s="107" t="n">
        <v>1396</v>
      </c>
    </row>
    <row r="104" ht="30" customHeight="1">
      <c r="A104" s="1775" t="inlineStr">
        <is>
          <t>JJ2</t>
        </is>
      </c>
      <c r="B104" s="208" t="inlineStr">
        <is>
          <t>IP01</t>
        </is>
      </c>
      <c r="C104" s="78" t="inlineStr">
        <is>
          <t>FGAA4</t>
        </is>
      </c>
      <c r="D104" s="209" t="inlineStr">
        <is>
          <t>M NIKE PROMINA</t>
        </is>
      </c>
      <c r="E104" s="76" t="inlineStr">
        <is>
          <t>FV5285-002</t>
        </is>
      </c>
      <c r="F104" s="78" t="inlineStr">
        <is>
          <t>WHITE,WHITE</t>
        </is>
      </c>
      <c r="G104" s="79" t="inlineStr">
        <is>
          <t>NO</t>
        </is>
      </c>
      <c r="H104" s="79" t="inlineStr">
        <is>
          <t>NO</t>
        </is>
      </c>
      <c r="I104" s="81" t="inlineStr">
        <is>
          <t>BIP 024</t>
        </is>
      </c>
      <c r="J104" s="1753" t="n"/>
      <c r="K104" s="83" t="inlineStr">
        <is>
          <t>ME</t>
        </is>
      </c>
      <c r="L104" s="1754" t="n"/>
      <c r="M104" s="1754" t="n"/>
      <c r="N104" s="1754" t="n"/>
      <c r="O104" s="1754" t="n">
        <v>0</v>
      </c>
      <c r="P104" s="1754" t="n"/>
      <c r="Q104" s="1754" t="n"/>
      <c r="R104" s="1754" t="n"/>
      <c r="S104" s="1754" t="n"/>
      <c r="T104" s="1754" t="n">
        <v>0</v>
      </c>
      <c r="U104" s="1754" t="n">
        <v>18</v>
      </c>
      <c r="V104" s="85" t="n">
        <v>96</v>
      </c>
      <c r="W104" s="85" t="n">
        <v>1764</v>
      </c>
      <c r="X104" s="85" t="n">
        <v>1260</v>
      </c>
      <c r="Y104" s="85" t="n">
        <v>629</v>
      </c>
      <c r="Z104" s="85" t="n"/>
      <c r="AA104" s="85" t="n"/>
      <c r="AB104" s="85" t="n"/>
      <c r="AC104" s="85" t="n"/>
      <c r="AD104" s="85" t="n"/>
      <c r="AE104" s="86">
        <f>SUM(L104:AD104)</f>
        <v/>
      </c>
      <c r="AF104" s="87">
        <f>J104*AE104</f>
        <v/>
      </c>
      <c r="AG104" s="194" t="n"/>
      <c r="AH104" s="1597" t="n">
        <v>561</v>
      </c>
      <c r="AI104" s="1597" t="n">
        <v>0</v>
      </c>
      <c r="AJ104" s="1597">
        <f>SUM(AK104:AK110)</f>
        <v/>
      </c>
      <c r="AK104" s="87" t="n">
        <v>2223</v>
      </c>
    </row>
    <row r="105" ht="30" customHeight="1">
      <c r="A105" s="1738" t="n"/>
      <c r="B105" s="118" t="inlineStr">
        <is>
          <t>IP01</t>
        </is>
      </c>
      <c r="C105" s="89" t="inlineStr">
        <is>
          <t>FGAA4</t>
        </is>
      </c>
      <c r="D105" s="139" t="inlineStr">
        <is>
          <t>M NIKE PROMINA</t>
        </is>
      </c>
      <c r="E105" s="88" t="inlineStr">
        <is>
          <t>FV5285-303</t>
        </is>
      </c>
      <c r="F105" s="89" t="inlineStr">
        <is>
          <t>SAIL</t>
        </is>
      </c>
      <c r="G105" s="119" t="inlineStr">
        <is>
          <t>NO</t>
        </is>
      </c>
      <c r="H105" s="119" t="inlineStr">
        <is>
          <t>NO</t>
        </is>
      </c>
      <c r="I105" s="90" t="inlineStr">
        <is>
          <t>BIP 024</t>
        </is>
      </c>
      <c r="J105" s="1770" t="n"/>
      <c r="K105" s="92" t="inlineStr">
        <is>
          <t>ME</t>
        </is>
      </c>
      <c r="L105" s="1768" t="n"/>
      <c r="M105" s="1768" t="n"/>
      <c r="N105" s="1768" t="n"/>
      <c r="O105" s="1768" t="n">
        <v>0</v>
      </c>
      <c r="P105" s="1768" t="n"/>
      <c r="Q105" s="1768" t="n"/>
      <c r="R105" s="1768" t="n">
        <v>0</v>
      </c>
      <c r="S105" s="1768" t="n"/>
      <c r="T105" s="1768" t="n"/>
      <c r="U105" s="1768" t="n"/>
      <c r="V105" s="94" t="n"/>
      <c r="W105" s="94" t="n"/>
      <c r="X105" s="94" t="n"/>
      <c r="Y105" s="94" t="n">
        <v>1135</v>
      </c>
      <c r="Z105" s="94" t="n">
        <v>1764</v>
      </c>
      <c r="AA105" s="94" t="n"/>
      <c r="AB105" s="94" t="n"/>
      <c r="AC105" s="94" t="n"/>
      <c r="AD105" s="94" t="n"/>
      <c r="AE105" s="120">
        <f>SUM(L105:AD105)</f>
        <v/>
      </c>
      <c r="AF105" s="121">
        <f>J105*AE105</f>
        <v/>
      </c>
      <c r="AG105" s="195" t="n"/>
      <c r="AH105" s="1745" t="n"/>
      <c r="AI105" s="1745" t="n"/>
      <c r="AJ105" s="1745" t="n"/>
      <c r="AK105" s="121" t="n">
        <v>0</v>
      </c>
    </row>
    <row r="106" ht="30" customHeight="1">
      <c r="A106" s="1738" t="n"/>
      <c r="B106" s="118" t="inlineStr">
        <is>
          <t>IP01</t>
        </is>
      </c>
      <c r="C106" s="89" t="inlineStr">
        <is>
          <t>FGAA4</t>
        </is>
      </c>
      <c r="D106" s="139" t="inlineStr">
        <is>
          <t>W NIKE PROMINA</t>
        </is>
      </c>
      <c r="E106" s="88" t="inlineStr">
        <is>
          <t>FV6343-011</t>
        </is>
      </c>
      <c r="F106" s="89" t="inlineStr">
        <is>
          <t>FOOTBALL GREY</t>
        </is>
      </c>
      <c r="G106" s="119" t="inlineStr">
        <is>
          <t>NO</t>
        </is>
      </c>
      <c r="H106" s="119" t="inlineStr">
        <is>
          <t>NO</t>
        </is>
      </c>
      <c r="I106" s="90" t="inlineStr">
        <is>
          <t>BIP 024</t>
        </is>
      </c>
      <c r="J106" s="1770" t="n">
        <v>0.241</v>
      </c>
      <c r="K106" s="92" t="inlineStr">
        <is>
          <t>WO</t>
        </is>
      </c>
      <c r="L106" s="1768" t="n"/>
      <c r="M106" s="1768" t="n"/>
      <c r="N106" s="1768" t="n"/>
      <c r="O106" s="1768" t="n">
        <v>0</v>
      </c>
      <c r="P106" s="1768" t="n">
        <v>0</v>
      </c>
      <c r="Q106" s="1768" t="n">
        <v>0</v>
      </c>
      <c r="R106" s="1768" t="n">
        <v>0</v>
      </c>
      <c r="S106" s="1768" t="n"/>
      <c r="T106" s="1768" t="n"/>
      <c r="U106" s="1768" t="n"/>
      <c r="V106" s="94" t="n"/>
      <c r="W106" s="94" t="n"/>
      <c r="X106" s="238" t="n">
        <v>2</v>
      </c>
      <c r="Y106" s="94" t="n"/>
      <c r="Z106" s="94" t="n"/>
      <c r="AA106" s="238" t="n"/>
      <c r="AB106" s="94" t="n"/>
      <c r="AC106" s="94" t="n"/>
      <c r="AD106" s="94" t="n"/>
      <c r="AE106" s="120">
        <f>SUM(L106:AD106)</f>
        <v/>
      </c>
      <c r="AF106" s="121">
        <f>J106*AE106</f>
        <v/>
      </c>
      <c r="AG106" s="197" t="inlineStr">
        <is>
          <t>ZST</t>
        </is>
      </c>
      <c r="AH106" s="1745" t="n"/>
      <c r="AI106" s="1745" t="n"/>
      <c r="AJ106" s="1745" t="n"/>
      <c r="AK106" s="121" t="n">
        <v>0</v>
      </c>
    </row>
    <row r="107" ht="30" customHeight="1">
      <c r="A107" s="1738" t="n"/>
      <c r="B107" s="122" t="inlineStr">
        <is>
          <t>IP01</t>
        </is>
      </c>
      <c r="C107" s="51" t="inlineStr">
        <is>
          <t>FGAA4</t>
        </is>
      </c>
      <c r="D107" s="136" t="inlineStr">
        <is>
          <t>W NIKE PROMINA</t>
        </is>
      </c>
      <c r="E107" s="49" t="inlineStr">
        <is>
          <t>FV6343-012</t>
        </is>
      </c>
      <c r="F107" s="51" t="inlineStr">
        <is>
          <t>PHANTOM</t>
        </is>
      </c>
      <c r="G107" s="52" t="inlineStr">
        <is>
          <t>NO</t>
        </is>
      </c>
      <c r="H107" s="52" t="inlineStr">
        <is>
          <t>NO</t>
        </is>
      </c>
      <c r="I107" s="54" t="inlineStr">
        <is>
          <t>BIP 024</t>
        </is>
      </c>
      <c r="J107" s="1742" t="n">
        <v>0.241</v>
      </c>
      <c r="K107" s="56" t="inlineStr">
        <is>
          <t>WO</t>
        </is>
      </c>
      <c r="L107" s="1743" t="n"/>
      <c r="M107" s="1743" t="n"/>
      <c r="N107" s="1743" t="n">
        <v>0</v>
      </c>
      <c r="O107" s="1743" t="n">
        <v>0</v>
      </c>
      <c r="P107" s="1743" t="n"/>
      <c r="Q107" s="1743" t="n"/>
      <c r="R107" s="1743" t="n"/>
      <c r="S107" s="1743" t="n"/>
      <c r="T107" s="1743" t="n"/>
      <c r="U107" s="1760" t="n">
        <v>1</v>
      </c>
      <c r="V107" s="58" t="n"/>
      <c r="W107" s="58" t="n"/>
      <c r="X107" s="58" t="n"/>
      <c r="Y107" s="58" t="n"/>
      <c r="Z107" s="94" t="n"/>
      <c r="AA107" s="58" t="n"/>
      <c r="AB107" s="58" t="n"/>
      <c r="AC107" s="58" t="n"/>
      <c r="AD107" s="58" t="n"/>
      <c r="AE107" s="46">
        <f>SUM(L107:AD107)</f>
        <v/>
      </c>
      <c r="AF107" s="47">
        <f>J107*AE107</f>
        <v/>
      </c>
      <c r="AG107" s="197" t="inlineStr">
        <is>
          <t>ZST</t>
        </is>
      </c>
      <c r="AH107" s="1745" t="n"/>
      <c r="AI107" s="1745" t="n"/>
      <c r="AJ107" s="1745" t="n"/>
      <c r="AK107" s="47" t="n">
        <v>0</v>
      </c>
    </row>
    <row r="108" ht="30" customHeight="1">
      <c r="A108" s="1738" t="n"/>
      <c r="B108" s="122" t="inlineStr">
        <is>
          <t>IP01</t>
        </is>
      </c>
      <c r="C108" s="51" t="inlineStr">
        <is>
          <t>FGAA4</t>
        </is>
      </c>
      <c r="D108" s="136" t="inlineStr">
        <is>
          <t>W NIKE PROMINA</t>
        </is>
      </c>
      <c r="E108" s="49" t="inlineStr">
        <is>
          <t>FV6343-100</t>
        </is>
      </c>
      <c r="F108" s="51" t="inlineStr">
        <is>
          <t>WHITE</t>
        </is>
      </c>
      <c r="G108" s="52" t="inlineStr">
        <is>
          <t>NO</t>
        </is>
      </c>
      <c r="H108" s="52" t="inlineStr">
        <is>
          <t>NO</t>
        </is>
      </c>
      <c r="I108" s="54" t="inlineStr">
        <is>
          <t>BIP 024</t>
        </is>
      </c>
      <c r="J108" s="1742" t="n">
        <v>0.241</v>
      </c>
      <c r="K108" s="56" t="inlineStr">
        <is>
          <t>WO</t>
        </is>
      </c>
      <c r="L108" s="1743" t="n"/>
      <c r="M108" s="1743" t="n"/>
      <c r="N108" s="1743" t="n"/>
      <c r="O108" s="1743" t="n">
        <v>0</v>
      </c>
      <c r="P108" s="1743" t="n"/>
      <c r="Q108" s="1743" t="n"/>
      <c r="R108" s="1743" t="n">
        <v>0</v>
      </c>
      <c r="S108" s="1743" t="n"/>
      <c r="T108" s="1743" t="n"/>
      <c r="U108" s="1760" t="n">
        <v>2</v>
      </c>
      <c r="V108" s="58" t="n"/>
      <c r="W108" s="58" t="n"/>
      <c r="X108" s="58" t="n"/>
      <c r="Y108" s="58" t="n"/>
      <c r="Z108" s="94" t="n"/>
      <c r="AA108" s="58" t="n"/>
      <c r="AB108" s="58" t="n"/>
      <c r="AC108" s="58" t="n"/>
      <c r="AD108" s="58" t="n"/>
      <c r="AE108" s="46">
        <f>SUM(L108:AD108)</f>
        <v/>
      </c>
      <c r="AF108" s="47">
        <f>J108*AE108</f>
        <v/>
      </c>
      <c r="AG108" s="197" t="inlineStr">
        <is>
          <t>ZST</t>
        </is>
      </c>
      <c r="AH108" s="1745" t="n"/>
      <c r="AI108" s="1745" t="n"/>
      <c r="AJ108" s="1745" t="n"/>
      <c r="AK108" s="47" t="n">
        <v>1</v>
      </c>
    </row>
    <row r="109" ht="30" customHeight="1">
      <c r="A109" s="1738" t="n"/>
      <c r="B109" s="122" t="inlineStr">
        <is>
          <t>IP01</t>
        </is>
      </c>
      <c r="C109" s="51" t="inlineStr">
        <is>
          <t>FGAA4</t>
        </is>
      </c>
      <c r="D109" s="136" t="inlineStr">
        <is>
          <t>W NIKE PROMINA</t>
        </is>
      </c>
      <c r="E109" s="49" t="inlineStr">
        <is>
          <t>FV6343-502</t>
        </is>
      </c>
      <c r="F109" s="51" t="inlineStr">
        <is>
          <t>SAIL</t>
        </is>
      </c>
      <c r="G109" s="52" t="inlineStr">
        <is>
          <t>NO</t>
        </is>
      </c>
      <c r="H109" s="52" t="inlineStr">
        <is>
          <t>NO</t>
        </is>
      </c>
      <c r="I109" s="54" t="inlineStr">
        <is>
          <t>BIP 024</t>
        </is>
      </c>
      <c r="J109" s="1742" t="n">
        <v>0.241</v>
      </c>
      <c r="K109" s="56" t="inlineStr">
        <is>
          <t>WO</t>
        </is>
      </c>
      <c r="L109" s="1743" t="n">
        <v>0</v>
      </c>
      <c r="M109" s="1743" t="n">
        <v>0</v>
      </c>
      <c r="N109" s="1743" t="n">
        <v>0</v>
      </c>
      <c r="O109" s="1743" t="n"/>
      <c r="P109" s="1743" t="n"/>
      <c r="Q109" s="1743" t="n"/>
      <c r="R109" s="1743" t="n"/>
      <c r="S109" s="1743" t="n"/>
      <c r="T109" s="1743" t="n"/>
      <c r="U109" s="1760" t="n">
        <v>5</v>
      </c>
      <c r="V109" s="58" t="n"/>
      <c r="W109" s="58" t="n"/>
      <c r="X109" s="58" t="n"/>
      <c r="Y109" s="58" t="n"/>
      <c r="Z109" s="94" t="n"/>
      <c r="AA109" s="58" t="n"/>
      <c r="AB109" s="58" t="n"/>
      <c r="AC109" s="58" t="n"/>
      <c r="AD109" s="58" t="n"/>
      <c r="AE109" s="46">
        <f>SUM(L109:AD109)</f>
        <v/>
      </c>
      <c r="AF109" s="47">
        <f>J109*AE109</f>
        <v/>
      </c>
      <c r="AG109" s="197" t="inlineStr">
        <is>
          <t>ZST</t>
        </is>
      </c>
      <c r="AH109" s="1745" t="n"/>
      <c r="AI109" s="1745" t="n"/>
      <c r="AJ109" s="1745" t="n"/>
      <c r="AK109" s="47" t="n">
        <v>0</v>
      </c>
    </row>
    <row r="110" ht="30" customHeight="1">
      <c r="A110" s="1738" t="n"/>
      <c r="B110" s="122" t="inlineStr">
        <is>
          <t>IP01</t>
        </is>
      </c>
      <c r="C110" s="51" t="inlineStr">
        <is>
          <t>FGAA4</t>
        </is>
      </c>
      <c r="D110" s="136" t="inlineStr">
        <is>
          <t>W NIKE PROMINA PRINT</t>
        </is>
      </c>
      <c r="E110" s="49" t="inlineStr">
        <is>
          <t>IV5684-001</t>
        </is>
      </c>
      <c r="F110" s="51" t="inlineStr">
        <is>
          <t>SAIL</t>
        </is>
      </c>
      <c r="G110" s="52" t="inlineStr">
        <is>
          <t>NO</t>
        </is>
      </c>
      <c r="H110" s="52" t="inlineStr">
        <is>
          <t>NO</t>
        </is>
      </c>
      <c r="I110" s="54" t="inlineStr">
        <is>
          <t>BIP 024</t>
        </is>
      </c>
      <c r="J110" s="1742" t="n">
        <v>0.241</v>
      </c>
      <c r="K110" s="56" t="inlineStr">
        <is>
          <t>WO</t>
        </is>
      </c>
      <c r="L110" s="1743" t="n"/>
      <c r="M110" s="1743" t="n"/>
      <c r="N110" s="1743" t="n"/>
      <c r="O110" s="1743" t="n">
        <v>0</v>
      </c>
      <c r="P110" s="1743" t="n"/>
      <c r="Q110" s="1743" t="n"/>
      <c r="R110" s="1743" t="n">
        <v>0</v>
      </c>
      <c r="S110" s="1743" t="n"/>
      <c r="T110" s="1743" t="n"/>
      <c r="U110" s="1743" t="n"/>
      <c r="V110" s="58" t="n"/>
      <c r="W110" s="58" t="n"/>
      <c r="X110" s="239" t="n">
        <v>1</v>
      </c>
      <c r="Y110" s="58" t="n"/>
      <c r="Z110" s="94" t="n"/>
      <c r="AA110" s="239" t="n"/>
      <c r="AB110" s="58" t="n"/>
      <c r="AC110" s="58" t="n"/>
      <c r="AD110" s="58" t="n"/>
      <c r="AE110" s="120">
        <f>SUM(L110:AD110)</f>
        <v/>
      </c>
      <c r="AF110" s="121">
        <f>J110*AE110</f>
        <v/>
      </c>
      <c r="AG110" s="197" t="inlineStr">
        <is>
          <t>ZST</t>
        </is>
      </c>
      <c r="AH110" s="1745" t="n"/>
      <c r="AI110" s="1745" t="n"/>
      <c r="AJ110" s="1745" t="n"/>
      <c r="AK110" s="47" t="n">
        <v>0</v>
      </c>
    </row>
    <row r="111" hidden="1" ht="33.95" customHeight="1" thickBot="1">
      <c r="A111" s="1764" t="n"/>
      <c r="B111" s="149" t="n"/>
      <c r="C111" s="150" t="n"/>
      <c r="D111" s="150" t="n"/>
      <c r="E111" s="150" t="n"/>
      <c r="F111" s="150" t="n"/>
      <c r="G111" s="151" t="n"/>
      <c r="H111" s="152" t="n"/>
      <c r="I111" s="151" t="n"/>
      <c r="J111" s="1776" t="n"/>
      <c r="K111" s="150" t="n"/>
      <c r="L111" s="154" t="n"/>
      <c r="M111" s="154" t="n"/>
      <c r="N111" s="154" t="n"/>
      <c r="O111" s="154" t="n"/>
      <c r="P111" s="154" t="n"/>
      <c r="Q111" s="154" t="n"/>
      <c r="R111" s="154" t="n"/>
      <c r="S111" s="154" t="n"/>
      <c r="T111" s="154" t="n"/>
      <c r="U111" s="154" t="n"/>
      <c r="V111" s="154" t="n"/>
      <c r="W111" s="154" t="n"/>
      <c r="X111" s="154" t="n"/>
      <c r="Y111" s="154" t="n"/>
      <c r="Z111" s="154" t="n"/>
      <c r="AA111" s="154" t="n"/>
      <c r="AB111" s="154" t="n"/>
      <c r="AC111" s="154" t="n"/>
      <c r="AD111" s="154" t="n"/>
      <c r="AE111" s="155">
        <f>SUM(L111:AD111)</f>
        <v/>
      </c>
      <c r="AF111" s="156" t="n"/>
      <c r="AG111" s="157" t="n"/>
      <c r="AH111" s="158" t="n"/>
      <c r="AI111" s="158" t="n"/>
      <c r="AJ111" s="159" t="n"/>
      <c r="AK111" s="159" t="n"/>
    </row>
    <row r="112" ht="18" customHeight="1" thickBot="1">
      <c r="A112" s="160" t="n"/>
      <c r="B112" s="161" t="n"/>
      <c r="C112" s="162" t="n"/>
      <c r="D112" s="163" t="n"/>
      <c r="E112" s="164" t="n"/>
      <c r="F112" s="162" t="n"/>
      <c r="G112" s="162" t="n"/>
      <c r="H112" s="162" t="n"/>
      <c r="I112" s="163" t="n"/>
      <c r="J112" s="1777" t="n"/>
      <c r="K112" s="166" t="n"/>
      <c r="L112" s="167">
        <f>SUM(L11:L111)</f>
        <v/>
      </c>
      <c r="M112" s="167">
        <f>SUM(M11:M111)</f>
        <v/>
      </c>
      <c r="N112" s="167">
        <f>SUM(N11:N111)</f>
        <v/>
      </c>
      <c r="O112" s="167">
        <f>SUM(O11:O111)</f>
        <v/>
      </c>
      <c r="P112" s="167">
        <f>SUM(P11:P111)</f>
        <v/>
      </c>
      <c r="Q112" s="167">
        <f>SUM(Q11:Q111)</f>
        <v/>
      </c>
      <c r="R112" s="167">
        <f>SUM(R11:R111)</f>
        <v/>
      </c>
      <c r="S112" s="167">
        <f>SUM(S11:S111)</f>
        <v/>
      </c>
      <c r="T112" s="167">
        <f>SUM(T11:T111)</f>
        <v/>
      </c>
      <c r="U112" s="167">
        <f>SUM(U11:U111)</f>
        <v/>
      </c>
      <c r="V112" s="167">
        <f>SUM(V11:V111)</f>
        <v/>
      </c>
      <c r="W112" s="167">
        <f>SUM(W11:W111)</f>
        <v/>
      </c>
      <c r="X112" s="167">
        <f>SUM(X11:X111)</f>
        <v/>
      </c>
      <c r="Y112" s="167">
        <f>SUM(Y11:Y111)</f>
        <v/>
      </c>
      <c r="Z112" s="167">
        <f>SUM(Z11:Z111)</f>
        <v/>
      </c>
      <c r="AA112" s="167" t="n"/>
      <c r="AB112" s="167" t="n"/>
      <c r="AC112" s="167" t="n"/>
      <c r="AD112" s="167">
        <f>SUM(AD11:AD111)</f>
        <v/>
      </c>
      <c r="AE112" s="167">
        <f>SUM(L112:AD112)</f>
        <v/>
      </c>
      <c r="AF112" s="167">
        <f>SUM(AF11:AF111)</f>
        <v/>
      </c>
      <c r="AG112" s="168" t="n"/>
      <c r="AH112" s="167">
        <f>SUM(AH11:AH111)</f>
        <v/>
      </c>
      <c r="AI112" s="167">
        <f>SUM(AI11:AI111)</f>
        <v/>
      </c>
      <c r="AJ112" s="167">
        <f>SUM(AJ11:AJ111)</f>
        <v/>
      </c>
      <c r="AK112" s="169">
        <f>SUM(AK11:AK111)</f>
        <v/>
      </c>
    </row>
    <row r="113">
      <c r="AJ113" s="172" t="n"/>
      <c r="AK113" s="172">
        <f>AK112-AJ112</f>
        <v/>
      </c>
    </row>
    <row r="114"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</row>
    <row r="115">
      <c r="AE115" s="172" t="n"/>
    </row>
    <row r="116">
      <c r="AE116" s="172" t="n"/>
      <c r="AF116" s="172" t="n"/>
    </row>
    <row r="117">
      <c r="AE117" s="172" t="n"/>
    </row>
    <row r="126">
      <c r="A126" s="173" t="n"/>
    </row>
  </sheetData>
  <autoFilter ref="A10:AJ113"/>
  <mergeCells count="109">
    <mergeCell ref="AH24:AH27"/>
    <mergeCell ref="AJ89:AJ91"/>
    <mergeCell ref="AI21:AI23"/>
    <mergeCell ref="AI56:AI60"/>
    <mergeCell ref="AI24:AI27"/>
    <mergeCell ref="AJ104:AJ110"/>
    <mergeCell ref="AH19:AH20"/>
    <mergeCell ref="AJ76:AJ80"/>
    <mergeCell ref="AF6:AF9"/>
    <mergeCell ref="AH86:AH88"/>
    <mergeCell ref="L6:W6"/>
    <mergeCell ref="AH21:AH23"/>
    <mergeCell ref="AH92:AH94"/>
    <mergeCell ref="AJ21:AJ23"/>
    <mergeCell ref="AJ86:AJ88"/>
    <mergeCell ref="A104:A111"/>
    <mergeCell ref="B6:B9"/>
    <mergeCell ref="AH68:AH75"/>
    <mergeCell ref="AG74:AG75"/>
    <mergeCell ref="AK34:AK37"/>
    <mergeCell ref="AJ97:AJ98"/>
    <mergeCell ref="AJ61:AJ67"/>
    <mergeCell ref="AJ13:AJ15"/>
    <mergeCell ref="A99:A103"/>
    <mergeCell ref="K6:K7"/>
    <mergeCell ref="H1:H2"/>
    <mergeCell ref="C3:D3"/>
    <mergeCell ref="AK28:AK31"/>
    <mergeCell ref="C5:D5"/>
    <mergeCell ref="AG6:AG9"/>
    <mergeCell ref="AI28:AI55"/>
    <mergeCell ref="AI6:AI9"/>
    <mergeCell ref="C4:D4"/>
    <mergeCell ref="AJ19:AJ20"/>
    <mergeCell ref="AH16:AH18"/>
    <mergeCell ref="AJ16:AJ18"/>
    <mergeCell ref="AI95:AI96"/>
    <mergeCell ref="E6:E9"/>
    <mergeCell ref="AI61:AI67"/>
    <mergeCell ref="G6:G9"/>
    <mergeCell ref="E4:G5"/>
    <mergeCell ref="AK38:AK39"/>
    <mergeCell ref="AH99:AH103"/>
    <mergeCell ref="AH11:AH12"/>
    <mergeCell ref="AH56:AH60"/>
    <mergeCell ref="AI97:AI98"/>
    <mergeCell ref="AJ99:AJ103"/>
    <mergeCell ref="AJ28:AJ55"/>
    <mergeCell ref="AH76:AH80"/>
    <mergeCell ref="AI89:AI91"/>
    <mergeCell ref="AK40:AK43"/>
    <mergeCell ref="H4:H5"/>
    <mergeCell ref="AK68:AK69"/>
    <mergeCell ref="AI104:AI110"/>
    <mergeCell ref="AI76:AI80"/>
    <mergeCell ref="H6:H9"/>
    <mergeCell ref="A11:A14"/>
    <mergeCell ref="A68:A88"/>
    <mergeCell ref="J6:J9"/>
    <mergeCell ref="A89:A97"/>
    <mergeCell ref="AH81:AH85"/>
    <mergeCell ref="I4:J5"/>
    <mergeCell ref="AH61:AH67"/>
    <mergeCell ref="AI92:AI94"/>
    <mergeCell ref="A6:A9"/>
    <mergeCell ref="AJ56:AJ60"/>
    <mergeCell ref="A3:B3"/>
    <mergeCell ref="AJ24:AJ27"/>
    <mergeCell ref="AK72:AK73"/>
    <mergeCell ref="AI13:AI15"/>
    <mergeCell ref="A56:A67"/>
    <mergeCell ref="A5:B5"/>
    <mergeCell ref="AJ81:AJ85"/>
    <mergeCell ref="AK70:AK71"/>
    <mergeCell ref="G1:G2"/>
    <mergeCell ref="AH104:AH110"/>
    <mergeCell ref="AE6:AE9"/>
    <mergeCell ref="A4:B4"/>
    <mergeCell ref="E1:F2"/>
    <mergeCell ref="AI68:AI75"/>
    <mergeCell ref="AK32:AK33"/>
    <mergeCell ref="AI19:AI20"/>
    <mergeCell ref="A1:D2"/>
    <mergeCell ref="AI16:AI18"/>
    <mergeCell ref="AJ92:AJ94"/>
    <mergeCell ref="AH95:AH96"/>
    <mergeCell ref="D6:D9"/>
    <mergeCell ref="AK74:AK75"/>
    <mergeCell ref="AJ11:AJ12"/>
    <mergeCell ref="F6:F9"/>
    <mergeCell ref="AH28:AH55"/>
    <mergeCell ref="AI81:AI85"/>
    <mergeCell ref="AI11:AI12"/>
    <mergeCell ref="AH97:AH98"/>
    <mergeCell ref="AH89:AH91"/>
    <mergeCell ref="AH6:AH9"/>
    <mergeCell ref="AK50:AK51"/>
    <mergeCell ref="AH13:AH15"/>
    <mergeCell ref="AJ6:AJ9"/>
    <mergeCell ref="AK44:AK45"/>
    <mergeCell ref="AJ68:AJ75"/>
    <mergeCell ref="AJ95:AJ96"/>
    <mergeCell ref="AK6:AK9"/>
    <mergeCell ref="AK46:AK49"/>
    <mergeCell ref="AI99:AI103"/>
    <mergeCell ref="A24:A32"/>
    <mergeCell ref="AI86:AI88"/>
    <mergeCell ref="I6:I9"/>
    <mergeCell ref="C6:C9"/>
  </mergeCells>
  <conditionalFormatting sqref="G11:H51">
    <cfRule type="cellIs" priority="31" operator="lessThan" dxfId="4">
      <formula>"NO"</formula>
    </cfRule>
    <cfRule type="cellIs" priority="32" operator="greaterThan" dxfId="4">
      <formula>"NO"</formula>
    </cfRule>
  </conditionalFormatting>
  <conditionalFormatting sqref="G56:H110">
    <cfRule type="cellIs" priority="7" operator="lessThan" dxfId="4">
      <formula>"NO"</formula>
    </cfRule>
    <cfRule type="cellIs" priority="8" operator="greaterThan" dxfId="4">
      <formula>"NO"</formula>
    </cfRule>
  </conditionalFormatting>
  <conditionalFormatting sqref="L53">
    <cfRule type="cellIs" priority="52" operator="greaterThan" dxfId="3">
      <formula>0</formula>
    </cfRule>
  </conditionalFormatting>
  <conditionalFormatting sqref="L54">
    <cfRule type="cellIs" priority="59" operator="greaterThan" dxfId="1">
      <formula>0</formula>
    </cfRule>
  </conditionalFormatting>
  <conditionalFormatting sqref="L11:L51 L56:N108 L109:S110 M11:M53 M55 N11:N51 O11:Q67 O68:O108 P68:Q92 P94:R108 R11:R92 S11:S108 T11:T17 T19:T80 T82:T110 U11:U73">
    <cfRule type="cellIs" priority="163" operator="greaterThan" dxfId="3">
      <formula>0</formula>
    </cfRule>
  </conditionalFormatting>
  <conditionalFormatting sqref="U110">
    <cfRule type="cellIs" priority="11" operator="greaterThan" dxfId="3">
      <formula>0</formula>
    </cfRule>
  </conditionalFormatting>
  <conditionalFormatting sqref="V11:V16 V19:V44 V46:V59 V61:V73 V76:V103 W11:W110">
    <cfRule type="cellIs" priority="37" operator="greaterThan" dxfId="2">
      <formula>0</formula>
    </cfRule>
  </conditionalFormatting>
  <conditionalFormatting sqref="U76:U106 V17:V18 V45 V60 V104:V110">
    <cfRule type="cellIs" priority="2" operator="greaterThan" dxfId="3">
      <formula>0</formula>
    </cfRule>
  </conditionalFormatting>
  <conditionalFormatting sqref="X11:AD105">
    <cfRule type="cellIs" priority="49" operator="greaterThan" dxfId="1">
      <formula>0</formula>
    </cfRule>
  </conditionalFormatting>
  <conditionalFormatting sqref="X107:AD109">
    <cfRule type="cellIs" priority="9" operator="greaterThan" dxfId="1">
      <formula>0</formula>
    </cfRule>
  </conditionalFormatting>
  <conditionalFormatting sqref="L111:AD111 Z105:Z110 AB106:AD106 AB110:AD110">
    <cfRule type="cellIs" priority="3327" operator="greaterThan" dxfId="1">
      <formula>0</formula>
    </cfRule>
  </conditionalFormatting>
  <pageMargins left="0" right="0" top="0" bottom="0" header="0" footer="0"/>
  <pageSetup orientation="landscape" paperSize="9" scale="34" fitToHeight="0"/>
  <rowBreaks count="1" manualBreakCount="1">
    <brk id="65" min="0" max="3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Plan-CKP, Caca-JJ</dc:creator>
  <dcterms:created xsi:type="dcterms:W3CDTF">2023-07-13T01:16:09Z</dcterms:created>
  <dcterms:modified xsi:type="dcterms:W3CDTF">2026-07-21T12:31:34Z</dcterms:modified>
  <cp:lastModifiedBy>Han, Jace</cp:lastModifiedBy>
  <cp:lastPrinted>2026-04-20T00:52:04Z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0x010100715DEA3CFCF8FD46A0D127A58791F824</vt:lpwstr>
  </property>
</Properties>
</file>